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RISK\JEZEVČÍK\Subtasks\RISK-1145 Přehled plateb pro KTK\"/>
    </mc:Choice>
  </mc:AlternateContent>
  <bookViews>
    <workbookView xWindow="480" yWindow="195" windowWidth="22995" windowHeight="9930" activeTab="3"/>
  </bookViews>
  <sheets>
    <sheet name="List1" sheetId="1" r:id="rId1"/>
    <sheet name="List2" sheetId="2" r:id="rId2"/>
    <sheet name="List3" sheetId="3" r:id="rId3"/>
    <sheet name="FA" sheetId="4" r:id="rId4"/>
  </sheets>
  <calcPr calcId="152511"/>
</workbook>
</file>

<file path=xl/calcChain.xml><?xml version="1.0" encoding="utf-8"?>
<calcChain xmlns="http://schemas.openxmlformats.org/spreadsheetml/2006/main">
  <c r="G27" i="4" l="1"/>
  <c r="F29" i="2"/>
  <c r="E27" i="4"/>
  <c r="E11" i="4"/>
  <c r="E12" i="4" s="1"/>
  <c r="E13" i="4" s="1"/>
  <c r="E14" i="4" s="1"/>
  <c r="E15" i="4" s="1"/>
  <c r="E16" i="4" s="1"/>
  <c r="E17" i="4" s="1"/>
  <c r="E29" i="3" l="1"/>
  <c r="F27" i="3"/>
  <c r="E23" i="3"/>
  <c r="E14" i="3"/>
  <c r="E15" i="3" s="1"/>
  <c r="E16" i="3" s="1"/>
  <c r="E17" i="3" s="1"/>
  <c r="E18" i="3" s="1"/>
  <c r="E19" i="3" s="1"/>
  <c r="E13" i="3"/>
  <c r="I7" i="3"/>
  <c r="I6" i="3"/>
  <c r="I5" i="3"/>
  <c r="F4" i="3"/>
  <c r="E29" i="2"/>
  <c r="E13" i="2"/>
  <c r="E14" i="2" s="1"/>
  <c r="E15" i="2" s="1"/>
  <c r="E16" i="2" s="1"/>
  <c r="E17" i="2" s="1"/>
  <c r="E18" i="2" s="1"/>
  <c r="E19" i="2" s="1"/>
  <c r="F29" i="1" l="1"/>
  <c r="E14" i="1" l="1"/>
  <c r="E15" i="1" s="1"/>
  <c r="E16" i="1" s="1"/>
  <c r="E17" i="1" s="1"/>
  <c r="E18" i="1" s="1"/>
  <c r="E19" i="1" s="1"/>
  <c r="E20" i="1" s="1"/>
  <c r="E25" i="1" s="1"/>
  <c r="E31" i="1" l="1"/>
  <c r="I5" i="1"/>
  <c r="F4" i="1" l="1"/>
  <c r="I7" i="1" l="1"/>
  <c r="I6" i="1"/>
</calcChain>
</file>

<file path=xl/comments1.xml><?xml version="1.0" encoding="utf-8"?>
<comments xmlns="http://schemas.openxmlformats.org/spreadsheetml/2006/main">
  <authors>
    <author>Tomešková Lucie</author>
  </authors>
  <commentList>
    <comment ref="A18" authorId="0" shapeId="0">
      <text>
        <r>
          <rPr>
            <b/>
            <sz val="9"/>
            <color indexed="81"/>
            <rFont val="Tahoma"/>
            <family val="2"/>
            <charset val="238"/>
          </rPr>
          <t>Tomešková Lucie:</t>
        </r>
        <r>
          <rPr>
            <sz val="9"/>
            <color indexed="81"/>
            <rFont val="Tahoma"/>
            <family val="2"/>
            <charset val="238"/>
          </rPr>
          <t xml:space="preserve">
Souhrnný název pro poplatky za tarif, poplatky za výběry z bankomatu, poplatky za sazka kody atd.</t>
        </r>
      </text>
    </comment>
  </commentList>
</comments>
</file>

<file path=xl/comments2.xml><?xml version="1.0" encoding="utf-8"?>
<comments xmlns="http://schemas.openxmlformats.org/spreadsheetml/2006/main">
  <authors>
    <author>Tomešková Lucie</author>
  </authors>
  <commentList>
    <comment ref="A17" authorId="0" shapeId="0">
      <text>
        <r>
          <rPr>
            <b/>
            <sz val="9"/>
            <color indexed="81"/>
            <rFont val="Tahoma"/>
            <family val="2"/>
            <charset val="238"/>
          </rPr>
          <t>Tomešková Lucie:</t>
        </r>
        <r>
          <rPr>
            <sz val="9"/>
            <color indexed="81"/>
            <rFont val="Tahoma"/>
            <family val="2"/>
            <charset val="238"/>
          </rPr>
          <t xml:space="preserve">
Souhrnný název pro poplatky za tarif, poplatky za výběry z bankomatu, poplatky za sazka kody atd.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  <charset val="238"/>
          </rPr>
          <t>Tomešková Lucie:</t>
        </r>
        <r>
          <rPr>
            <sz val="9"/>
            <color indexed="81"/>
            <rFont val="Tahoma"/>
            <family val="2"/>
            <charset val="238"/>
          </rPr>
          <t xml:space="preserve">
změna sazby</t>
        </r>
      </text>
    </comment>
    <comment ref="F29" authorId="0" shapeId="0">
      <text>
        <r>
          <rPr>
            <b/>
            <sz val="9"/>
            <color indexed="81"/>
            <rFont val="Tahoma"/>
            <family val="2"/>
            <charset val="238"/>
          </rPr>
          <t>Tomešková Lucie:</t>
        </r>
        <r>
          <rPr>
            <sz val="9"/>
            <color indexed="81"/>
            <rFont val="Tahoma"/>
            <family val="2"/>
            <charset val="238"/>
          </rPr>
          <t xml:space="preserve">
sečítat úroky před zesplatněním, které nebyly zaplacené??? ANO</t>
        </r>
      </text>
    </comment>
  </commentList>
</comments>
</file>

<file path=xl/comments3.xml><?xml version="1.0" encoding="utf-8"?>
<comments xmlns="http://schemas.openxmlformats.org/spreadsheetml/2006/main">
  <authors>
    <author>Tomešková Lucie</author>
  </authors>
  <commentList>
    <comment ref="A17" authorId="0" shapeId="0">
      <text>
        <r>
          <rPr>
            <b/>
            <sz val="9"/>
            <color indexed="81"/>
            <rFont val="Tahoma"/>
            <family val="2"/>
            <charset val="238"/>
          </rPr>
          <t>Tomešková Lucie:</t>
        </r>
        <r>
          <rPr>
            <sz val="9"/>
            <color indexed="81"/>
            <rFont val="Tahoma"/>
            <family val="2"/>
            <charset val="238"/>
          </rPr>
          <t xml:space="preserve">
Souhrnný název pro poplatky za tarif, poplatky za výběry z bankomatu, poplatky za sazka kody atd.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  <charset val="238"/>
          </rPr>
          <t>Tomešková Lucie:</t>
        </r>
        <r>
          <rPr>
            <sz val="9"/>
            <color indexed="81"/>
            <rFont val="Tahoma"/>
            <family val="2"/>
            <charset val="238"/>
          </rPr>
          <t xml:space="preserve">
změna sazby</t>
        </r>
      </text>
    </comment>
  </commentList>
</comments>
</file>

<file path=xl/comments4.xml><?xml version="1.0" encoding="utf-8"?>
<comments xmlns="http://schemas.openxmlformats.org/spreadsheetml/2006/main">
  <authors>
    <author>Tomešková Lucie</author>
    <author>Antol Filip</author>
  </authors>
  <commentList>
    <comment ref="A15" authorId="0" shapeId="0">
      <text>
        <r>
          <rPr>
            <b/>
            <sz val="9"/>
            <color indexed="81"/>
            <rFont val="Tahoma"/>
            <family val="2"/>
            <charset val="238"/>
          </rPr>
          <t>Tomešková Lucie:</t>
        </r>
        <r>
          <rPr>
            <sz val="9"/>
            <color indexed="81"/>
            <rFont val="Tahoma"/>
            <family val="2"/>
            <charset val="238"/>
          </rPr>
          <t xml:space="preserve">
Souhrnný název pro poplatky za tarif, poplatky za výběry z bankomatu, poplatky za sazka kody atd.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  <charset val="238"/>
          </rPr>
          <t>Tomešková Lucie:</t>
        </r>
        <r>
          <rPr>
            <sz val="9"/>
            <color indexed="81"/>
            <rFont val="Tahoma"/>
            <family val="2"/>
            <charset val="238"/>
          </rPr>
          <t xml:space="preserve">
změna sazby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  <charset val="238"/>
          </rPr>
          <t>Tomešková Lucie:</t>
        </r>
        <r>
          <rPr>
            <sz val="9"/>
            <color indexed="81"/>
            <rFont val="Tahoma"/>
            <family val="2"/>
            <charset val="238"/>
          </rPr>
          <t xml:space="preserve">
sečítat úroky před zesplatněním, které nebyly zaplacené??? ANO</t>
        </r>
      </text>
    </comment>
    <comment ref="A43" authorId="1" shapeId="0">
      <text>
        <r>
          <rPr>
            <b/>
            <sz val="9"/>
            <color indexed="81"/>
            <rFont val="Tahoma"/>
            <family val="2"/>
            <charset val="238"/>
          </rPr>
          <t>Antol Filip:</t>
        </r>
        <r>
          <rPr>
            <sz val="9"/>
            <color indexed="81"/>
            <rFont val="Tahoma"/>
            <family val="2"/>
            <charset val="238"/>
          </rPr>
          <t xml:space="preserve">
po zesplatnění už se sazba nemění, se zesplatněním se sazba zafixuje a je stejná až do zaplacení.</t>
        </r>
      </text>
    </comment>
  </commentList>
</comments>
</file>

<file path=xl/sharedStrings.xml><?xml version="1.0" encoding="utf-8"?>
<sst xmlns="http://schemas.openxmlformats.org/spreadsheetml/2006/main" count="201" uniqueCount="58">
  <si>
    <t>Přehled čerpání a splácení kontokorentu</t>
  </si>
  <si>
    <t>Klient</t>
  </si>
  <si>
    <t>Úroková sazba</t>
  </si>
  <si>
    <t>Datum čerpání kontokorentu</t>
  </si>
  <si>
    <t>Celková nesplacená jistina ke dni zesplatnění</t>
  </si>
  <si>
    <t>Celková nesplacená jistina ke dni podání žaloby</t>
  </si>
  <si>
    <t>Celková nesplacená jistina ke dni &lt;aktuální datum&gt;</t>
  </si>
  <si>
    <t>Datum</t>
  </si>
  <si>
    <t>Sazba</t>
  </si>
  <si>
    <t>Čerpání/splacení</t>
  </si>
  <si>
    <t>Čerpaná jistina</t>
  </si>
  <si>
    <t>Odchozí platba - platba kartou</t>
  </si>
  <si>
    <t>Odchozí platba - trvalá transakce</t>
  </si>
  <si>
    <t>Odchozí platba - inkaso</t>
  </si>
  <si>
    <t>Odchozí platba - jednorázová platba</t>
  </si>
  <si>
    <t>Odchozí platba - ….</t>
  </si>
  <si>
    <t>Příchozí platba</t>
  </si>
  <si>
    <t>Obchodní úroky (3.5. - 31.5.2018)</t>
  </si>
  <si>
    <t>Datum uzavření smlouvy/dodtaku o kontokorentu</t>
  </si>
  <si>
    <t>Petr Novák</t>
  </si>
  <si>
    <t>Zesplatnění</t>
  </si>
  <si>
    <t>Poplatky banky</t>
  </si>
  <si>
    <t>Náklady na vymáhání</t>
  </si>
  <si>
    <t>Splátka půjčky/hypotéky</t>
  </si>
  <si>
    <t>Výše limitu kontokorentu</t>
  </si>
  <si>
    <t>Blokace</t>
  </si>
  <si>
    <t>Obchodní úroky (1.6. - 30.6.2018)</t>
  </si>
  <si>
    <t>Obchodní úroky (1.7. - 31.7.2018)</t>
  </si>
  <si>
    <t>Obchodní úroky (1.8. - 31.8.2018)</t>
  </si>
  <si>
    <t>Podání žaloby</t>
  </si>
  <si>
    <t>Varianta B - klient má zcela vyčerpaný limit (limit = 10 000 Kč)</t>
  </si>
  <si>
    <t>Vývoj roční úrokové sazby</t>
  </si>
  <si>
    <t>Úrok (1.9. - 9.9. 2018)</t>
  </si>
  <si>
    <t>Úrok (10.9. - 30.9.2018)</t>
  </si>
  <si>
    <t>Úrok (1.10. - 31.10.2018)</t>
  </si>
  <si>
    <t>předpis OÚ</t>
  </si>
  <si>
    <t>Předpis SÚ</t>
  </si>
  <si>
    <t>Zaplaceno OÚ</t>
  </si>
  <si>
    <t>Zaplaceno SÚ</t>
  </si>
  <si>
    <t xml:space="preserve"> </t>
  </si>
  <si>
    <t>Úrok (1.11. - 29.11.2018)</t>
  </si>
  <si>
    <t>částka</t>
  </si>
  <si>
    <t>Úrok (10.9. - 14.9.2018)</t>
  </si>
  <si>
    <t>Úrok (15.9. - 30.9.2018)</t>
  </si>
  <si>
    <t>Datum úhrady</t>
  </si>
  <si>
    <t>Úhrady úroků</t>
  </si>
  <si>
    <t>Předpisy</t>
  </si>
  <si>
    <t>po zesplatnění už se sazba nemění, se zesplatněním se sazba zafixuje a je stejná až do zaplacení</t>
  </si>
  <si>
    <t>Obchodní úroky (1.7. - 10.7.2018)</t>
  </si>
  <si>
    <t>Obchodní úroky (11.7. - 31.7.2018)</t>
  </si>
  <si>
    <t>Poplatky banky/úrok</t>
  </si>
  <si>
    <t>Čerpání/splacení jistiny</t>
  </si>
  <si>
    <t>Typ transakce</t>
  </si>
  <si>
    <t>Předpisy úroků</t>
  </si>
  <si>
    <t>OÚ</t>
  </si>
  <si>
    <t>SÚ</t>
  </si>
  <si>
    <t>xxxx yyyy</t>
  </si>
  <si>
    <t>Datum uzavření smlouvy/dodatku o kontokorentu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</si>
</sst>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&quot;Kč&quot;"/>
  </numFmts>
  <fonts count="6" x14ac:knownFonts="1">
    <font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theme="0" tint="-0.249977111117893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theme="0" tint="-0.1499984740745262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 tint="-0.14999847407452621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6"/>
      </bottom>
      <diagonal/>
    </border>
    <border>
      <left/>
      <right/>
      <top style="medium">
        <color theme="6"/>
      </top>
      <bottom style="medium">
        <color theme="6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10" fontId="0" fillId="0" borderId="1" xfId="0" applyNumberFormat="1" applyBorder="1"/>
    <xf numFmtId="10" fontId="0" fillId="0" borderId="2" xfId="0" applyNumberFormat="1" applyBorder="1"/>
    <xf numFmtId="0" fontId="0" fillId="0" borderId="0" xfId="0" applyBorder="1"/>
    <xf numFmtId="164" fontId="0" fillId="0" borderId="1" xfId="0" applyNumberFormat="1" applyBorder="1"/>
    <xf numFmtId="164" fontId="0" fillId="0" borderId="2" xfId="0" applyNumberFormat="1" applyBorder="1"/>
    <xf numFmtId="0" fontId="0" fillId="2" borderId="0" xfId="0" applyFill="1"/>
    <xf numFmtId="0" fontId="0" fillId="3" borderId="3" xfId="0" applyFill="1" applyBorder="1"/>
    <xf numFmtId="14" fontId="0" fillId="3" borderId="3" xfId="0" applyNumberFormat="1" applyFill="1" applyBorder="1"/>
    <xf numFmtId="10" fontId="0" fillId="3" borderId="3" xfId="0" applyNumberFormat="1" applyFill="1" applyBorder="1"/>
    <xf numFmtId="164" fontId="0" fillId="3" borderId="3" xfId="0" applyNumberFormat="1" applyFill="1" applyBorder="1"/>
    <xf numFmtId="0" fontId="0" fillId="2" borderId="3" xfId="0" applyFill="1" applyBorder="1"/>
    <xf numFmtId="14" fontId="0" fillId="2" borderId="3" xfId="0" applyNumberFormat="1" applyFill="1" applyBorder="1"/>
    <xf numFmtId="10" fontId="0" fillId="2" borderId="3" xfId="0" applyNumberFormat="1" applyFill="1" applyBorder="1"/>
    <xf numFmtId="164" fontId="0" fillId="2" borderId="3" xfId="0" applyNumberFormat="1" applyFill="1" applyBorder="1"/>
    <xf numFmtId="164" fontId="3" fillId="2" borderId="3" xfId="0" applyNumberFormat="1" applyFont="1" applyFill="1" applyBorder="1"/>
    <xf numFmtId="164" fontId="3" fillId="2" borderId="3" xfId="0" applyNumberFormat="1" applyFont="1" applyFill="1" applyBorder="1" applyAlignment="1">
      <alignment horizontal="left"/>
    </xf>
    <xf numFmtId="164" fontId="0" fillId="3" borderId="4" xfId="0" applyNumberFormat="1" applyFill="1" applyBorder="1" applyAlignment="1">
      <alignment horizontal="right"/>
    </xf>
    <xf numFmtId="164" fontId="0" fillId="3" borderId="5" xfId="0" applyNumberFormat="1" applyFill="1" applyBorder="1" applyAlignment="1">
      <alignment horizontal="right"/>
    </xf>
    <xf numFmtId="164" fontId="0" fillId="3" borderId="6" xfId="0" applyNumberFormat="1" applyFill="1" applyBorder="1" applyAlignment="1">
      <alignment horizontal="right"/>
    </xf>
    <xf numFmtId="164" fontId="0" fillId="3" borderId="4" xfId="0" applyNumberFormat="1" applyFill="1" applyBorder="1" applyAlignment="1">
      <alignment horizontal="right"/>
    </xf>
    <xf numFmtId="164" fontId="0" fillId="3" borderId="5" xfId="0" applyNumberFormat="1" applyFill="1" applyBorder="1" applyAlignment="1">
      <alignment horizontal="right"/>
    </xf>
    <xf numFmtId="164" fontId="0" fillId="3" borderId="6" xfId="0" applyNumberFormat="1" applyFill="1" applyBorder="1" applyAlignment="1">
      <alignment horizontal="right"/>
    </xf>
    <xf numFmtId="0" fontId="0" fillId="3" borderId="0" xfId="0" applyFill="1" applyBorder="1"/>
    <xf numFmtId="164" fontId="0" fillId="2" borderId="4" xfId="0" applyNumberFormat="1" applyFill="1" applyBorder="1" applyAlignment="1">
      <alignment horizontal="right"/>
    </xf>
    <xf numFmtId="164" fontId="0" fillId="2" borderId="3" xfId="0" applyNumberFormat="1" applyFill="1" applyBorder="1" applyAlignment="1">
      <alignment horizontal="right"/>
    </xf>
    <xf numFmtId="164" fontId="0" fillId="3" borderId="3" xfId="0" applyNumberFormat="1" applyFill="1" applyBorder="1" applyAlignment="1">
      <alignment horizontal="right"/>
    </xf>
    <xf numFmtId="164" fontId="0" fillId="3" borderId="4" xfId="0" applyNumberFormat="1" applyFill="1" applyBorder="1" applyAlignment="1">
      <alignment horizontal="right"/>
    </xf>
    <xf numFmtId="164" fontId="0" fillId="3" borderId="4" xfId="0" applyNumberFormat="1" applyFill="1" applyBorder="1" applyAlignment="1">
      <alignment horizontal="right"/>
    </xf>
    <xf numFmtId="164" fontId="0" fillId="3" borderId="5" xfId="0" applyNumberFormat="1" applyFill="1" applyBorder="1" applyAlignment="1">
      <alignment horizontal="right"/>
    </xf>
    <xf numFmtId="164" fontId="0" fillId="3" borderId="6" xfId="0" applyNumberFormat="1" applyFill="1" applyBorder="1" applyAlignment="1">
      <alignment horizontal="right"/>
    </xf>
    <xf numFmtId="164" fontId="0" fillId="3" borderId="3" xfId="0" applyNumberFormat="1" applyFill="1" applyBorder="1" applyAlignment="1">
      <alignment horizontal="right"/>
    </xf>
    <xf numFmtId="164" fontId="0" fillId="2" borderId="3" xfId="0" applyNumberFormat="1" applyFill="1" applyBorder="1" applyAlignment="1">
      <alignment horizontal="right"/>
    </xf>
    <xf numFmtId="164" fontId="0" fillId="2" borderId="4" xfId="0" applyNumberFormat="1" applyFill="1" applyBorder="1" applyAlignment="1">
      <alignment horizontal="right"/>
    </xf>
    <xf numFmtId="164" fontId="3" fillId="2" borderId="3" xfId="0" applyNumberFormat="1" applyFont="1" applyFill="1" applyBorder="1" applyAlignment="1">
      <alignment horizontal="left"/>
    </xf>
    <xf numFmtId="164" fontId="3" fillId="2" borderId="4" xfId="0" applyNumberFormat="1" applyFont="1" applyFill="1" applyBorder="1" applyAlignment="1">
      <alignment horizontal="left"/>
    </xf>
    <xf numFmtId="14" fontId="0" fillId="3" borderId="4" xfId="0" applyNumberFormat="1" applyFill="1" applyBorder="1" applyAlignment="1">
      <alignment horizontal="right"/>
    </xf>
    <xf numFmtId="14" fontId="0" fillId="0" borderId="0" xfId="0" applyNumberFormat="1"/>
    <xf numFmtId="14" fontId="0" fillId="2" borderId="0" xfId="0" applyNumberFormat="1" applyFill="1"/>
    <xf numFmtId="14" fontId="3" fillId="2" borderId="4" xfId="0" applyNumberFormat="1" applyFont="1" applyFill="1" applyBorder="1" applyAlignment="1">
      <alignment horizontal="left"/>
    </xf>
    <xf numFmtId="14" fontId="0" fillId="2" borderId="4" xfId="0" applyNumberFormat="1" applyFill="1" applyBorder="1" applyAlignment="1">
      <alignment horizontal="right"/>
    </xf>
    <xf numFmtId="0" fontId="4" fillId="0" borderId="0" xfId="0" applyFont="1"/>
    <xf numFmtId="14" fontId="0" fillId="4" borderId="3" xfId="0" applyNumberFormat="1" applyFill="1" applyBorder="1"/>
    <xf numFmtId="0" fontId="0" fillId="0" borderId="3" xfId="0" applyFill="1" applyBorder="1"/>
    <xf numFmtId="14" fontId="0" fillId="0" borderId="3" xfId="0" applyNumberFormat="1" applyFill="1" applyBorder="1"/>
    <xf numFmtId="164" fontId="0" fillId="0" borderId="3" xfId="0" applyNumberFormat="1" applyFill="1" applyBorder="1"/>
    <xf numFmtId="164" fontId="0" fillId="0" borderId="4" xfId="0" applyNumberFormat="1" applyFill="1" applyBorder="1" applyAlignment="1"/>
    <xf numFmtId="164" fontId="0" fillId="0" borderId="4" xfId="0" applyNumberFormat="1" applyFill="1" applyBorder="1" applyAlignment="1">
      <alignment horizontal="right"/>
    </xf>
    <xf numFmtId="14" fontId="0" fillId="0" borderId="4" xfId="0" applyNumberFormat="1" applyFill="1" applyBorder="1" applyAlignment="1">
      <alignment horizontal="right"/>
    </xf>
    <xf numFmtId="164" fontId="0" fillId="0" borderId="3" xfId="0" applyNumberFormat="1" applyFill="1" applyBorder="1" applyAlignment="1">
      <alignment horizontal="right"/>
    </xf>
    <xf numFmtId="0" fontId="0" fillId="6" borderId="8" xfId="0" applyFont="1" applyFill="1" applyBorder="1"/>
    <xf numFmtId="14" fontId="0" fillId="6" borderId="8" xfId="0" applyNumberFormat="1" applyFont="1" applyFill="1" applyBorder="1"/>
    <xf numFmtId="164" fontId="0" fillId="6" borderId="8" xfId="0" applyNumberFormat="1" applyFont="1" applyFill="1" applyBorder="1"/>
    <xf numFmtId="164" fontId="0" fillId="6" borderId="8" xfId="0" applyNumberFormat="1" applyFont="1" applyFill="1" applyBorder="1" applyAlignment="1"/>
    <xf numFmtId="164" fontId="0" fillId="6" borderId="8" xfId="0" applyNumberFormat="1" applyFont="1" applyFill="1" applyBorder="1" applyAlignment="1">
      <alignment horizontal="right"/>
    </xf>
    <xf numFmtId="14" fontId="0" fillId="6" borderId="8" xfId="0" applyNumberFormat="1" applyFont="1" applyFill="1" applyBorder="1" applyAlignment="1">
      <alignment horizontal="right"/>
    </xf>
    <xf numFmtId="0" fontId="0" fillId="6" borderId="4" xfId="0" applyFont="1" applyFill="1" applyBorder="1"/>
    <xf numFmtId="14" fontId="0" fillId="6" borderId="4" xfId="0" applyNumberFormat="1" applyFont="1" applyFill="1" applyBorder="1"/>
    <xf numFmtId="164" fontId="0" fillId="6" borderId="4" xfId="0" applyNumberFormat="1" applyFont="1" applyFill="1" applyBorder="1"/>
    <xf numFmtId="164" fontId="0" fillId="6" borderId="4" xfId="0" applyNumberFormat="1" applyFont="1" applyFill="1" applyBorder="1" applyAlignment="1"/>
    <xf numFmtId="164" fontId="0" fillId="6" borderId="4" xfId="0" applyNumberFormat="1" applyFont="1" applyFill="1" applyBorder="1" applyAlignment="1">
      <alignment horizontal="right"/>
    </xf>
    <xf numFmtId="14" fontId="0" fillId="6" borderId="4" xfId="0" applyNumberFormat="1" applyFont="1" applyFill="1" applyBorder="1" applyAlignment="1">
      <alignment horizontal="right"/>
    </xf>
    <xf numFmtId="0" fontId="5" fillId="7" borderId="9" xfId="0" applyFont="1" applyFill="1" applyBorder="1"/>
    <xf numFmtId="14" fontId="5" fillId="7" borderId="9" xfId="0" applyNumberFormat="1" applyFont="1" applyFill="1" applyBorder="1"/>
    <xf numFmtId="0" fontId="0" fillId="8" borderId="0" xfId="0" applyFill="1"/>
    <xf numFmtId="0" fontId="0" fillId="9" borderId="8" xfId="0" applyFont="1" applyFill="1" applyBorder="1"/>
    <xf numFmtId="14" fontId="0" fillId="9" borderId="8" xfId="0" applyNumberFormat="1" applyFont="1" applyFill="1" applyBorder="1"/>
    <xf numFmtId="10" fontId="0" fillId="9" borderId="8" xfId="0" applyNumberFormat="1" applyFont="1" applyFill="1" applyBorder="1"/>
    <xf numFmtId="164" fontId="0" fillId="9" borderId="8" xfId="0" applyNumberFormat="1" applyFont="1" applyFill="1" applyBorder="1"/>
    <xf numFmtId="164" fontId="0" fillId="9" borderId="8" xfId="0" applyNumberFormat="1" applyFont="1" applyFill="1" applyBorder="1" applyAlignment="1"/>
    <xf numFmtId="164" fontId="0" fillId="9" borderId="8" xfId="0" applyNumberFormat="1" applyFont="1" applyFill="1" applyBorder="1" applyAlignment="1">
      <alignment horizontal="right"/>
    </xf>
    <xf numFmtId="0" fontId="0" fillId="5" borderId="8" xfId="0" applyFont="1" applyFill="1" applyBorder="1"/>
    <xf numFmtId="14" fontId="0" fillId="5" borderId="8" xfId="0" applyNumberFormat="1" applyFont="1" applyFill="1" applyBorder="1"/>
    <xf numFmtId="10" fontId="0" fillId="5" borderId="8" xfId="0" applyNumberFormat="1" applyFont="1" applyFill="1" applyBorder="1"/>
    <xf numFmtId="164" fontId="0" fillId="5" borderId="8" xfId="0" applyNumberFormat="1" applyFont="1" applyFill="1" applyBorder="1"/>
    <xf numFmtId="164" fontId="0" fillId="5" borderId="8" xfId="0" applyNumberFormat="1" applyFont="1" applyFill="1" applyBorder="1" applyAlignment="1"/>
    <xf numFmtId="164" fontId="0" fillId="5" borderId="8" xfId="0" applyNumberFormat="1" applyFont="1" applyFill="1" applyBorder="1" applyAlignment="1">
      <alignment horizontal="right"/>
    </xf>
    <xf numFmtId="14" fontId="0" fillId="9" borderId="8" xfId="0" applyNumberFormat="1" applyFont="1" applyFill="1" applyBorder="1" applyAlignment="1">
      <alignment horizontal="right"/>
    </xf>
    <xf numFmtId="14" fontId="0" fillId="5" borderId="8" xfId="0" applyNumberFormat="1" applyFont="1" applyFill="1" applyBorder="1" applyAlignment="1">
      <alignment horizontal="right"/>
    </xf>
    <xf numFmtId="0" fontId="0" fillId="0" borderId="0" xfId="0" applyAlignment="1"/>
    <xf numFmtId="164" fontId="0" fillId="3" borderId="4" xfId="0" applyNumberFormat="1" applyFill="1" applyBorder="1" applyAlignment="1">
      <alignment horizontal="right"/>
    </xf>
    <xf numFmtId="164" fontId="0" fillId="3" borderId="5" xfId="0" applyNumberFormat="1" applyFill="1" applyBorder="1" applyAlignment="1">
      <alignment horizontal="right"/>
    </xf>
    <xf numFmtId="164" fontId="0" fillId="3" borderId="6" xfId="0" applyNumberFormat="1" applyFill="1" applyBorder="1" applyAlignment="1">
      <alignment horizontal="right"/>
    </xf>
    <xf numFmtId="164" fontId="0" fillId="3" borderId="3" xfId="0" applyNumberFormat="1" applyFill="1" applyBorder="1" applyAlignment="1">
      <alignment horizontal="right"/>
    </xf>
    <xf numFmtId="164" fontId="0" fillId="2" borderId="3" xfId="0" applyNumberFormat="1" applyFill="1" applyBorder="1" applyAlignment="1">
      <alignment horizontal="right"/>
    </xf>
    <xf numFmtId="164" fontId="0" fillId="2" borderId="4" xfId="0" applyNumberFormat="1" applyFill="1" applyBorder="1" applyAlignment="1">
      <alignment horizontal="right"/>
    </xf>
    <xf numFmtId="164" fontId="0" fillId="2" borderId="5" xfId="0" applyNumberFormat="1" applyFill="1" applyBorder="1" applyAlignment="1">
      <alignment horizontal="right"/>
    </xf>
    <xf numFmtId="164" fontId="0" fillId="2" borderId="6" xfId="0" applyNumberFormat="1" applyFill="1" applyBorder="1" applyAlignment="1">
      <alignment horizontal="right"/>
    </xf>
    <xf numFmtId="164" fontId="3" fillId="2" borderId="3" xfId="0" applyNumberFormat="1" applyFont="1" applyFill="1" applyBorder="1" applyAlignment="1">
      <alignment horizontal="left"/>
    </xf>
    <xf numFmtId="0" fontId="0" fillId="2" borderId="0" xfId="0" applyFill="1" applyAlignment="1">
      <alignment horizontal="left"/>
    </xf>
    <xf numFmtId="164" fontId="0" fillId="3" borderId="4" xfId="0" applyNumberFormat="1" applyFill="1" applyBorder="1" applyAlignment="1"/>
    <xf numFmtId="164" fontId="0" fillId="3" borderId="5" xfId="0" applyNumberFormat="1" applyFill="1" applyBorder="1" applyAlignment="1"/>
    <xf numFmtId="164" fontId="0" fillId="3" borderId="6" xfId="0" applyNumberFormat="1" applyFill="1" applyBorder="1" applyAlignment="1"/>
    <xf numFmtId="0" fontId="0" fillId="2" borderId="7" xfId="0" applyFill="1" applyBorder="1" applyAlignment="1"/>
    <xf numFmtId="164" fontId="0" fillId="2" borderId="4" xfId="0" applyNumberFormat="1" applyFill="1" applyBorder="1" applyAlignment="1"/>
    <xf numFmtId="164" fontId="0" fillId="2" borderId="5" xfId="0" applyNumberFormat="1" applyFill="1" applyBorder="1" applyAlignment="1"/>
    <xf numFmtId="164" fontId="0" fillId="2" borderId="6" xfId="0" applyNumberFormat="1" applyFill="1" applyBorder="1" applyAlignme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4" borderId="4" xfId="0" applyNumberFormat="1" applyFill="1" applyBorder="1" applyAlignment="1"/>
    <xf numFmtId="164" fontId="0" fillId="4" borderId="5" xfId="0" applyNumberFormat="1" applyFill="1" applyBorder="1" applyAlignment="1"/>
    <xf numFmtId="164" fontId="0" fillId="4" borderId="6" xfId="0" applyNumberFormat="1" applyFill="1" applyBorder="1" applyAlignment="1"/>
    <xf numFmtId="164" fontId="3" fillId="2" borderId="4" xfId="0" applyNumberFormat="1" applyFont="1" applyFill="1" applyBorder="1" applyAlignment="1"/>
    <xf numFmtId="164" fontId="3" fillId="2" borderId="5" xfId="0" applyNumberFormat="1" applyFont="1" applyFill="1" applyBorder="1" applyAlignment="1"/>
    <xf numFmtId="164" fontId="3" fillId="2" borderId="6" xfId="0" applyNumberFormat="1" applyFont="1" applyFill="1" applyBorder="1" applyAlignment="1"/>
    <xf numFmtId="0" fontId="0" fillId="2" borderId="7" xfId="0" applyFill="1" applyBorder="1" applyAlignment="1">
      <alignment horizontal="left"/>
    </xf>
    <xf numFmtId="164" fontId="3" fillId="2" borderId="4" xfId="0" applyNumberFormat="1" applyFont="1" applyFill="1" applyBorder="1" applyAlignment="1">
      <alignment horizontal="left"/>
    </xf>
    <xf numFmtId="164" fontId="3" fillId="2" borderId="5" xfId="0" applyNumberFormat="1" applyFont="1" applyFill="1" applyBorder="1" applyAlignment="1">
      <alignment horizontal="left"/>
    </xf>
    <xf numFmtId="164" fontId="3" fillId="2" borderId="6" xfId="0" applyNumberFormat="1" applyFont="1" applyFill="1" applyBorder="1" applyAlignment="1">
      <alignment horizontal="left"/>
    </xf>
    <xf numFmtId="0" fontId="0" fillId="0" borderId="0" xfId="0" applyBorder="1" applyAlignment="1"/>
    <xf numFmtId="0" fontId="0" fillId="0" borderId="0" xfId="0" applyBorder="1"/>
    <xf numFmtId="14" fontId="5" fillId="7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19050</xdr:rowOff>
    </xdr:from>
    <xdr:to>
      <xdr:col>6</xdr:col>
      <xdr:colOff>360990</xdr:colOff>
      <xdr:row>52</xdr:row>
      <xdr:rowOff>142693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34700"/>
          <a:ext cx="7685715" cy="14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19050</xdr:rowOff>
    </xdr:from>
    <xdr:to>
      <xdr:col>3</xdr:col>
      <xdr:colOff>189540</xdr:colOff>
      <xdr:row>52</xdr:row>
      <xdr:rowOff>142693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48700"/>
          <a:ext cx="7685715" cy="1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4</xdr:col>
      <xdr:colOff>627961</xdr:colOff>
      <xdr:row>62</xdr:row>
      <xdr:rowOff>114100</xdr:rowOff>
    </xdr:to>
    <xdr:pic>
      <xdr:nvPicPr>
        <xdr:cNvPr id="3" name="Obrázek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72750"/>
          <a:ext cx="5514286" cy="16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19050</xdr:rowOff>
    </xdr:from>
    <xdr:to>
      <xdr:col>0</xdr:col>
      <xdr:colOff>2056440</xdr:colOff>
      <xdr:row>52</xdr:row>
      <xdr:rowOff>142693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48700"/>
          <a:ext cx="4018590" cy="14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19050</xdr:rowOff>
    </xdr:from>
    <xdr:to>
      <xdr:col>11</xdr:col>
      <xdr:colOff>313365</xdr:colOff>
      <xdr:row>50</xdr:row>
      <xdr:rowOff>142693</xdr:rowOff>
    </xdr:to>
    <xdr:pic>
      <xdr:nvPicPr>
        <xdr:cNvPr id="4" name="Obráze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8175"/>
          <a:ext cx="7152315" cy="1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12</xdr:col>
      <xdr:colOff>885136</xdr:colOff>
      <xdr:row>60</xdr:row>
      <xdr:rowOff>114100</xdr:rowOff>
    </xdr:to>
    <xdr:pic>
      <xdr:nvPicPr>
        <xdr:cNvPr id="5" name="Obrázek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91725"/>
          <a:ext cx="8648011" cy="1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45"/>
  <sheetViews>
    <sheetView topLeftCell="A16" workbookViewId="0">
      <selection activeCell="E44" sqref="E44"/>
    </sheetView>
  </sheetViews>
  <sheetFormatPr defaultRowHeight="15" x14ac:dyDescent="0.25"/>
  <cols>
    <col min="1" max="1" width="45.7109375" customWidth="1"/>
    <col min="2" max="2" width="10.5703125" customWidth="1"/>
    <col min="4" max="4" width="15.85546875" bestFit="1" customWidth="1"/>
    <col min="5" max="5" width="19.42578125" customWidth="1"/>
    <col min="7" max="7" width="11.42578125" bestFit="1" customWidth="1"/>
    <col min="10" max="10" width="18.28515625" customWidth="1"/>
    <col min="11" max="11" width="16.42578125" customWidth="1"/>
    <col min="12" max="12" width="15.85546875" customWidth="1"/>
  </cols>
  <sheetData>
    <row r="1" spans="1:12" ht="15.75" thickBot="1" x14ac:dyDescent="0.3">
      <c r="A1" s="1" t="s">
        <v>0</v>
      </c>
    </row>
    <row r="3" spans="1:12" ht="15.75" thickBot="1" x14ac:dyDescent="0.3">
      <c r="A3" s="1" t="s">
        <v>1</v>
      </c>
      <c r="B3" s="1" t="s">
        <v>19</v>
      </c>
      <c r="C3" s="6"/>
      <c r="E3" s="1" t="s">
        <v>24</v>
      </c>
      <c r="F3" s="1"/>
      <c r="G3" s="7">
        <v>10000</v>
      </c>
    </row>
    <row r="4" spans="1:12" ht="15.75" thickBot="1" x14ac:dyDescent="0.3">
      <c r="A4" s="2" t="s">
        <v>18</v>
      </c>
      <c r="B4" s="3">
        <v>43215</v>
      </c>
      <c r="E4" s="2" t="s">
        <v>10</v>
      </c>
      <c r="F4" s="7" t="e">
        <f>#REF!</f>
        <v>#REF!</v>
      </c>
    </row>
    <row r="5" spans="1:12" ht="15.75" thickBot="1" x14ac:dyDescent="0.3">
      <c r="A5" s="1" t="s">
        <v>2</v>
      </c>
      <c r="B5" s="4">
        <v>0.189</v>
      </c>
      <c r="C5" s="6"/>
      <c r="E5" s="1" t="s">
        <v>4</v>
      </c>
      <c r="F5" s="1"/>
      <c r="G5" s="1"/>
      <c r="I5" s="7" t="e">
        <f>#REF!</f>
        <v>#REF!</v>
      </c>
    </row>
    <row r="6" spans="1:12" ht="15.75" thickBot="1" x14ac:dyDescent="0.3">
      <c r="A6" s="2"/>
      <c r="B6" s="5"/>
      <c r="E6" s="2" t="s">
        <v>5</v>
      </c>
      <c r="F6" s="2"/>
      <c r="G6" s="2"/>
      <c r="H6" s="2"/>
      <c r="I6" s="8" t="e">
        <f>#REF!</f>
        <v>#REF!</v>
      </c>
    </row>
    <row r="7" spans="1:12" ht="15.75" thickBot="1" x14ac:dyDescent="0.3">
      <c r="A7" s="2" t="s">
        <v>3</v>
      </c>
      <c r="B7" s="3">
        <v>43223</v>
      </c>
      <c r="E7" s="2" t="s">
        <v>6</v>
      </c>
      <c r="F7" s="2"/>
      <c r="G7" s="2"/>
      <c r="H7" s="2"/>
      <c r="I7" s="8" t="e">
        <f>#REF!</f>
        <v>#REF!</v>
      </c>
    </row>
    <row r="11" spans="1:12" x14ac:dyDescent="0.25">
      <c r="A11" t="s">
        <v>30</v>
      </c>
    </row>
    <row r="13" spans="1:12" x14ac:dyDescent="0.25">
      <c r="A13" s="9"/>
      <c r="B13" s="9" t="s">
        <v>7</v>
      </c>
      <c r="C13" s="9" t="s">
        <v>8</v>
      </c>
      <c r="D13" s="9" t="s">
        <v>9</v>
      </c>
      <c r="E13" s="9" t="s">
        <v>10</v>
      </c>
      <c r="F13" s="92" t="s">
        <v>35</v>
      </c>
      <c r="G13" s="92"/>
      <c r="H13" s="92"/>
      <c r="I13" s="92"/>
      <c r="J13" s="9" t="s">
        <v>36</v>
      </c>
      <c r="K13" s="9" t="s">
        <v>37</v>
      </c>
      <c r="L13" s="9" t="s">
        <v>38</v>
      </c>
    </row>
    <row r="14" spans="1:12" x14ac:dyDescent="0.25">
      <c r="A14" s="10" t="s">
        <v>11</v>
      </c>
      <c r="B14" s="11">
        <v>43223</v>
      </c>
      <c r="C14" s="12">
        <v>0.189</v>
      </c>
      <c r="D14" s="13">
        <v>-1000</v>
      </c>
      <c r="E14" s="13">
        <f>D14*(-1)</f>
        <v>1000</v>
      </c>
      <c r="F14" s="83">
        <v>0</v>
      </c>
      <c r="G14" s="84"/>
      <c r="H14" s="84"/>
      <c r="I14" s="85"/>
      <c r="J14" s="20"/>
      <c r="K14" s="20"/>
      <c r="L14" s="20"/>
    </row>
    <row r="15" spans="1:12" x14ac:dyDescent="0.25">
      <c r="A15" s="10" t="s">
        <v>12</v>
      </c>
      <c r="B15" s="11">
        <v>43224</v>
      </c>
      <c r="C15" s="12">
        <v>0.189</v>
      </c>
      <c r="D15" s="13">
        <v>-500</v>
      </c>
      <c r="E15" s="13">
        <f>D15*(-1)+E14</f>
        <v>1500</v>
      </c>
      <c r="F15" s="83">
        <v>0</v>
      </c>
      <c r="G15" s="84"/>
      <c r="H15" s="84"/>
      <c r="I15" s="85"/>
      <c r="J15" s="20"/>
      <c r="K15" s="20"/>
      <c r="L15" s="20"/>
    </row>
    <row r="16" spans="1:12" x14ac:dyDescent="0.25">
      <c r="A16" s="10" t="s">
        <v>13</v>
      </c>
      <c r="B16" s="11">
        <v>43225</v>
      </c>
      <c r="C16" s="12">
        <v>0.189</v>
      </c>
      <c r="D16" s="13">
        <v>-1000</v>
      </c>
      <c r="E16" s="13">
        <f t="shared" ref="E16:E20" si="0">D16*(-1)+E15</f>
        <v>2500</v>
      </c>
      <c r="F16" s="83">
        <v>0</v>
      </c>
      <c r="G16" s="84"/>
      <c r="H16" s="84"/>
      <c r="I16" s="85"/>
      <c r="J16" s="20"/>
      <c r="K16" s="20"/>
      <c r="L16" s="20"/>
    </row>
    <row r="17" spans="1:12" x14ac:dyDescent="0.25">
      <c r="A17" s="10" t="s">
        <v>14</v>
      </c>
      <c r="B17" s="11">
        <v>43226</v>
      </c>
      <c r="C17" s="12">
        <v>0.189</v>
      </c>
      <c r="D17" s="13">
        <v>-1500</v>
      </c>
      <c r="E17" s="13">
        <f t="shared" si="0"/>
        <v>4000</v>
      </c>
      <c r="F17" s="83">
        <v>0</v>
      </c>
      <c r="G17" s="84"/>
      <c r="H17" s="84"/>
      <c r="I17" s="85"/>
      <c r="J17" s="20"/>
      <c r="K17" s="20"/>
      <c r="L17" s="20"/>
    </row>
    <row r="18" spans="1:12" x14ac:dyDescent="0.25">
      <c r="A18" s="10" t="s">
        <v>21</v>
      </c>
      <c r="B18" s="11">
        <v>43227</v>
      </c>
      <c r="C18" s="12">
        <v>0.189</v>
      </c>
      <c r="D18" s="13">
        <v>-100</v>
      </c>
      <c r="E18" s="13">
        <f t="shared" si="0"/>
        <v>4100</v>
      </c>
      <c r="F18" s="83">
        <v>0</v>
      </c>
      <c r="G18" s="84"/>
      <c r="H18" s="84"/>
      <c r="I18" s="85"/>
      <c r="J18" s="20"/>
      <c r="K18" s="20"/>
      <c r="L18" s="20"/>
    </row>
    <row r="19" spans="1:12" x14ac:dyDescent="0.25">
      <c r="A19" s="10" t="s">
        <v>22</v>
      </c>
      <c r="B19" s="11">
        <v>1138955</v>
      </c>
      <c r="C19" s="12">
        <v>0.189</v>
      </c>
      <c r="D19" s="13">
        <v>-300</v>
      </c>
      <c r="E19" s="13">
        <f t="shared" si="0"/>
        <v>4400</v>
      </c>
      <c r="F19" s="83">
        <v>0</v>
      </c>
      <c r="G19" s="84"/>
      <c r="H19" s="84"/>
      <c r="I19" s="85"/>
      <c r="J19" s="20"/>
      <c r="K19" s="20"/>
      <c r="L19" s="20"/>
    </row>
    <row r="20" spans="1:12" x14ac:dyDescent="0.25">
      <c r="A20" s="10" t="s">
        <v>15</v>
      </c>
      <c r="B20" s="11">
        <v>43229</v>
      </c>
      <c r="C20" s="12">
        <v>0.189</v>
      </c>
      <c r="D20" s="13">
        <v>-5600</v>
      </c>
      <c r="E20" s="13">
        <f t="shared" si="0"/>
        <v>10000</v>
      </c>
      <c r="F20" s="83">
        <v>0</v>
      </c>
      <c r="G20" s="84"/>
      <c r="H20" s="84"/>
      <c r="I20" s="85"/>
      <c r="J20" s="20"/>
      <c r="K20" s="20"/>
      <c r="L20" s="20"/>
    </row>
    <row r="21" spans="1:12" x14ac:dyDescent="0.25">
      <c r="A21" s="10" t="s">
        <v>17</v>
      </c>
      <c r="B21" s="11">
        <v>43252</v>
      </c>
      <c r="C21" s="12">
        <v>0.189</v>
      </c>
      <c r="D21" s="13">
        <v>-25</v>
      </c>
      <c r="E21" s="13">
        <v>10000</v>
      </c>
      <c r="F21" s="83">
        <v>25</v>
      </c>
      <c r="G21" s="84"/>
      <c r="H21" s="84"/>
      <c r="I21" s="85"/>
      <c r="J21" s="20"/>
      <c r="K21" s="20"/>
      <c r="L21" s="20"/>
    </row>
    <row r="22" spans="1:12" x14ac:dyDescent="0.25">
      <c r="A22" s="10" t="s">
        <v>16</v>
      </c>
      <c r="B22" s="11">
        <v>43254</v>
      </c>
      <c r="C22" s="12"/>
      <c r="D22" s="13">
        <v>25</v>
      </c>
      <c r="E22" s="13"/>
      <c r="F22" s="23"/>
      <c r="G22" s="24"/>
      <c r="H22" s="24"/>
      <c r="I22" s="25"/>
      <c r="J22" s="23"/>
      <c r="K22" s="23">
        <v>25</v>
      </c>
      <c r="L22" s="23"/>
    </row>
    <row r="23" spans="1:12" x14ac:dyDescent="0.25">
      <c r="A23" s="10" t="s">
        <v>16</v>
      </c>
      <c r="B23" s="11">
        <v>43254</v>
      </c>
      <c r="C23" s="12"/>
      <c r="D23" s="13">
        <v>4975</v>
      </c>
      <c r="E23" s="13">
        <v>5025</v>
      </c>
      <c r="F23" s="83">
        <v>0</v>
      </c>
      <c r="G23" s="84"/>
      <c r="H23" s="84"/>
      <c r="I23" s="85"/>
      <c r="J23" s="20"/>
      <c r="K23" s="20"/>
      <c r="L23" s="20"/>
    </row>
    <row r="24" spans="1:12" x14ac:dyDescent="0.25">
      <c r="A24" s="10" t="s">
        <v>23</v>
      </c>
      <c r="B24" s="11">
        <v>43266</v>
      </c>
      <c r="C24" s="12">
        <v>0.189</v>
      </c>
      <c r="D24" s="13">
        <v>-7500</v>
      </c>
      <c r="E24" s="13">
        <v>10000</v>
      </c>
      <c r="F24" s="83">
        <v>0</v>
      </c>
      <c r="G24" s="84"/>
      <c r="H24" s="84"/>
      <c r="I24" s="85"/>
      <c r="J24" s="20"/>
      <c r="K24" s="20"/>
      <c r="L24" s="20"/>
    </row>
    <row r="25" spans="1:12" x14ac:dyDescent="0.25">
      <c r="A25" s="14" t="s">
        <v>25</v>
      </c>
      <c r="B25" s="15">
        <v>43282</v>
      </c>
      <c r="C25" s="16"/>
      <c r="D25" s="14"/>
      <c r="E25" s="18">
        <f>D25*(-1)+E24</f>
        <v>10000</v>
      </c>
      <c r="F25" s="91"/>
      <c r="G25" s="91"/>
      <c r="H25" s="91"/>
      <c r="I25" s="91"/>
      <c r="J25" s="19"/>
      <c r="K25" s="20"/>
      <c r="L25" s="20"/>
    </row>
    <row r="26" spans="1:12" x14ac:dyDescent="0.25">
      <c r="A26" s="10" t="s">
        <v>26</v>
      </c>
      <c r="B26" s="11">
        <v>43282</v>
      </c>
      <c r="C26" s="12">
        <v>0.189</v>
      </c>
      <c r="D26" s="13">
        <v>-152</v>
      </c>
      <c r="E26" s="13">
        <v>10000</v>
      </c>
      <c r="F26" s="83">
        <v>152</v>
      </c>
      <c r="G26" s="84"/>
      <c r="H26" s="84"/>
      <c r="I26" s="85"/>
      <c r="J26" s="20"/>
      <c r="K26" s="20"/>
      <c r="L26" s="20"/>
    </row>
    <row r="27" spans="1:12" x14ac:dyDescent="0.25">
      <c r="A27" s="10" t="s">
        <v>16</v>
      </c>
      <c r="B27" s="11">
        <v>43291</v>
      </c>
      <c r="C27" s="12"/>
      <c r="D27" s="13">
        <v>152</v>
      </c>
      <c r="E27" s="13"/>
      <c r="F27" s="23"/>
      <c r="G27" s="24"/>
      <c r="H27" s="24"/>
      <c r="I27" s="25"/>
      <c r="J27" s="23"/>
      <c r="K27" s="23">
        <v>152</v>
      </c>
      <c r="L27" s="23"/>
    </row>
    <row r="28" spans="1:12" x14ac:dyDescent="0.25">
      <c r="A28" s="10" t="s">
        <v>16</v>
      </c>
      <c r="B28" s="11">
        <v>43291</v>
      </c>
      <c r="C28" s="12"/>
      <c r="D28" s="13">
        <v>848</v>
      </c>
      <c r="E28" s="13">
        <v>9152</v>
      </c>
      <c r="F28" s="83">
        <v>0</v>
      </c>
      <c r="G28" s="84"/>
      <c r="H28" s="84"/>
      <c r="I28" s="85"/>
      <c r="J28" s="20"/>
      <c r="K28" s="20"/>
      <c r="L28" s="20"/>
    </row>
    <row r="29" spans="1:12" x14ac:dyDescent="0.25">
      <c r="A29" s="10" t="s">
        <v>27</v>
      </c>
      <c r="B29" s="11">
        <v>43313</v>
      </c>
      <c r="C29" s="12">
        <v>0.189</v>
      </c>
      <c r="D29" s="13">
        <v>-148</v>
      </c>
      <c r="E29" s="13">
        <v>9152</v>
      </c>
      <c r="F29" s="83">
        <f>D29*(-1)</f>
        <v>148</v>
      </c>
      <c r="G29" s="84"/>
      <c r="H29" s="84"/>
      <c r="I29" s="85"/>
      <c r="J29" s="20"/>
      <c r="K29" s="20"/>
      <c r="L29" s="20"/>
    </row>
    <row r="30" spans="1:12" x14ac:dyDescent="0.25">
      <c r="A30" s="10" t="s">
        <v>28</v>
      </c>
      <c r="B30" s="11">
        <v>43344</v>
      </c>
      <c r="C30" s="12">
        <v>0.189</v>
      </c>
      <c r="D30" s="13">
        <v>-149</v>
      </c>
      <c r="E30" s="13">
        <v>9152</v>
      </c>
      <c r="F30" s="83">
        <v>149</v>
      </c>
      <c r="G30" s="84"/>
      <c r="H30" s="84"/>
      <c r="I30" s="85"/>
      <c r="J30" s="20"/>
      <c r="K30" s="20"/>
      <c r="L30" s="20"/>
    </row>
    <row r="31" spans="1:12" x14ac:dyDescent="0.25">
      <c r="A31" s="14" t="s">
        <v>20</v>
      </c>
      <c r="B31" s="15">
        <v>43344</v>
      </c>
      <c r="C31" s="14"/>
      <c r="D31" s="14"/>
      <c r="E31" s="17">
        <f>E30</f>
        <v>9152</v>
      </c>
      <c r="F31" s="88"/>
      <c r="G31" s="89"/>
      <c r="H31" s="89"/>
      <c r="I31" s="90"/>
      <c r="J31" s="27"/>
      <c r="K31" s="20"/>
      <c r="L31" s="20"/>
    </row>
    <row r="32" spans="1:12" x14ac:dyDescent="0.25">
      <c r="A32" s="10" t="s">
        <v>16</v>
      </c>
      <c r="B32" s="11">
        <v>43344</v>
      </c>
      <c r="C32" s="10"/>
      <c r="D32" s="13">
        <v>5000</v>
      </c>
      <c r="E32" s="13">
        <v>4152</v>
      </c>
      <c r="F32" s="83">
        <v>0</v>
      </c>
      <c r="G32" s="84"/>
      <c r="H32" s="84"/>
      <c r="I32" s="85"/>
      <c r="J32" s="20"/>
      <c r="K32" s="20"/>
      <c r="L32" s="20"/>
    </row>
    <row r="33" spans="1:14" x14ac:dyDescent="0.25">
      <c r="A33" s="10" t="s">
        <v>32</v>
      </c>
      <c r="B33" s="11">
        <v>43831</v>
      </c>
      <c r="C33" s="10"/>
      <c r="D33" s="13">
        <v>50</v>
      </c>
      <c r="E33" s="13"/>
      <c r="F33" s="20"/>
      <c r="G33" s="21"/>
      <c r="H33" s="21"/>
      <c r="I33" s="22">
        <v>50</v>
      </c>
      <c r="J33" s="20">
        <v>0</v>
      </c>
      <c r="K33" s="30">
        <v>50</v>
      </c>
      <c r="L33" s="20"/>
      <c r="N33" t="s">
        <v>39</v>
      </c>
    </row>
    <row r="34" spans="1:14" x14ac:dyDescent="0.25">
      <c r="A34" s="10" t="s">
        <v>33</v>
      </c>
      <c r="B34" s="11">
        <v>43862</v>
      </c>
      <c r="C34" s="10"/>
      <c r="D34" s="13">
        <v>150</v>
      </c>
      <c r="E34" s="13"/>
      <c r="F34" s="20"/>
      <c r="G34" s="21"/>
      <c r="H34" s="21"/>
      <c r="I34" s="22">
        <v>110</v>
      </c>
      <c r="J34" s="20">
        <v>40</v>
      </c>
      <c r="K34" s="30">
        <v>110</v>
      </c>
      <c r="L34" s="30">
        <v>40</v>
      </c>
    </row>
    <row r="35" spans="1:14" x14ac:dyDescent="0.25">
      <c r="A35" s="10" t="s">
        <v>34</v>
      </c>
      <c r="B35" s="11">
        <v>43862</v>
      </c>
      <c r="C35" s="10"/>
      <c r="D35" s="13">
        <v>50</v>
      </c>
      <c r="E35" s="13"/>
      <c r="F35" s="20"/>
      <c r="G35" s="21"/>
      <c r="H35" s="21"/>
      <c r="I35" s="22">
        <v>130</v>
      </c>
      <c r="J35" s="20">
        <v>60</v>
      </c>
      <c r="K35" s="20">
        <v>50</v>
      </c>
      <c r="L35" s="20"/>
    </row>
    <row r="36" spans="1:14" x14ac:dyDescent="0.25">
      <c r="A36" s="10"/>
      <c r="B36" s="11">
        <v>43863</v>
      </c>
      <c r="C36" s="10"/>
      <c r="D36" s="13">
        <v>140</v>
      </c>
      <c r="E36" s="13"/>
      <c r="F36" s="20"/>
      <c r="G36" s="21"/>
      <c r="H36" s="21"/>
      <c r="I36" s="22"/>
      <c r="J36" s="20"/>
      <c r="K36" s="30">
        <v>80</v>
      </c>
      <c r="L36" s="20">
        <v>60</v>
      </c>
    </row>
    <row r="37" spans="1:14" x14ac:dyDescent="0.25">
      <c r="A37" s="10" t="s">
        <v>40</v>
      </c>
      <c r="B37" s="11">
        <v>43891</v>
      </c>
      <c r="C37" s="10"/>
      <c r="D37" s="13">
        <v>30</v>
      </c>
      <c r="E37" s="13"/>
      <c r="F37" s="23"/>
      <c r="G37" s="24"/>
      <c r="H37" s="24"/>
      <c r="I37" s="25">
        <v>115</v>
      </c>
      <c r="J37" s="23">
        <v>55</v>
      </c>
      <c r="K37" s="23">
        <v>30</v>
      </c>
      <c r="L37" s="23"/>
    </row>
    <row r="38" spans="1:14" x14ac:dyDescent="0.25">
      <c r="A38" s="10"/>
      <c r="B38" s="11">
        <v>43892</v>
      </c>
      <c r="C38" s="10"/>
      <c r="D38" s="13">
        <v>30</v>
      </c>
      <c r="E38" s="13"/>
      <c r="F38" s="23"/>
      <c r="G38" s="24"/>
      <c r="H38" s="24"/>
      <c r="I38" s="25"/>
      <c r="J38" s="23"/>
      <c r="K38" s="23">
        <v>30</v>
      </c>
      <c r="L38" s="23"/>
    </row>
    <row r="39" spans="1:14" x14ac:dyDescent="0.25">
      <c r="A39" s="10"/>
      <c r="B39" s="11">
        <v>43922</v>
      </c>
      <c r="C39" s="10"/>
      <c r="D39" s="13">
        <v>110</v>
      </c>
      <c r="E39" s="13"/>
      <c r="F39" s="23"/>
      <c r="G39" s="24"/>
      <c r="H39" s="24"/>
      <c r="I39" s="25"/>
      <c r="J39" s="23"/>
      <c r="K39" s="23">
        <v>55</v>
      </c>
      <c r="L39" s="23">
        <v>55</v>
      </c>
    </row>
    <row r="40" spans="1:14" x14ac:dyDescent="0.25">
      <c r="A40" s="10" t="s">
        <v>16</v>
      </c>
      <c r="B40" s="11">
        <v>43434</v>
      </c>
      <c r="C40" s="10"/>
      <c r="D40" s="13">
        <v>4152</v>
      </c>
      <c r="E40" s="13">
        <v>0</v>
      </c>
      <c r="F40" s="23"/>
      <c r="G40" s="24"/>
      <c r="H40" s="24"/>
      <c r="I40" s="25"/>
      <c r="J40" s="23"/>
      <c r="K40" s="30"/>
      <c r="L40" s="30"/>
    </row>
    <row r="41" spans="1:14" x14ac:dyDescent="0.25">
      <c r="A41" s="14" t="s">
        <v>29</v>
      </c>
      <c r="B41" s="15">
        <v>43435</v>
      </c>
      <c r="C41" s="14"/>
      <c r="D41" s="14"/>
      <c r="E41" s="17">
        <v>0</v>
      </c>
      <c r="F41" s="87">
        <v>0</v>
      </c>
      <c r="G41" s="87"/>
      <c r="H41" s="87"/>
      <c r="I41" s="87"/>
      <c r="J41" s="28"/>
      <c r="K41" s="20"/>
      <c r="L41" s="20"/>
    </row>
    <row r="42" spans="1:14" x14ac:dyDescent="0.25">
      <c r="A42" s="10"/>
      <c r="B42" s="11"/>
      <c r="C42" s="10"/>
      <c r="D42" s="13"/>
      <c r="E42" s="13"/>
      <c r="F42" s="86"/>
      <c r="G42" s="86"/>
      <c r="H42" s="86"/>
      <c r="I42" s="86"/>
      <c r="J42" s="29"/>
      <c r="K42" s="20"/>
      <c r="L42" s="20"/>
    </row>
    <row r="45" spans="1:14" x14ac:dyDescent="0.25">
      <c r="A45" s="26" t="s">
        <v>31</v>
      </c>
    </row>
  </sheetData>
  <mergeCells count="20">
    <mergeCell ref="F14:I14"/>
    <mergeCell ref="F13:I13"/>
    <mergeCell ref="F20:I20"/>
    <mergeCell ref="F19:I19"/>
    <mergeCell ref="F18:I18"/>
    <mergeCell ref="F17:I17"/>
    <mergeCell ref="F16:I16"/>
    <mergeCell ref="F15:I15"/>
    <mergeCell ref="F21:I21"/>
    <mergeCell ref="F42:I42"/>
    <mergeCell ref="F41:I41"/>
    <mergeCell ref="F32:I32"/>
    <mergeCell ref="F31:I31"/>
    <mergeCell ref="F30:I30"/>
    <mergeCell ref="F29:I29"/>
    <mergeCell ref="F28:I28"/>
    <mergeCell ref="F26:I26"/>
    <mergeCell ref="F25:I25"/>
    <mergeCell ref="F24:I24"/>
    <mergeCell ref="F23:I23"/>
  </mergeCells>
  <pageMargins left="0.7" right="0.7" top="0.78740157499999996" bottom="0.78740157499999996" header="0.3" footer="0.3"/>
  <pageSetup paperSize="9" orientation="portrait" r:id="rId1"/>
  <headerFooter>
    <oddHeader xml:space="preserve">&amp;R&amp;10&amp;"Arial"Air Bank / interní
&amp;"Arial"&amp;06 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P47"/>
  <sheetViews>
    <sheetView workbookViewId="0">
      <selection activeCell="G4" sqref="G4"/>
    </sheetView>
  </sheetViews>
  <sheetFormatPr defaultRowHeight="15" x14ac:dyDescent="0.25"/>
  <cols>
    <col min="1" max="1" width="45.7109375" customWidth="1"/>
    <col min="2" max="2" width="10.5703125" customWidth="1"/>
    <col min="3" max="3" width="1.140625" customWidth="1"/>
    <col min="4" max="4" width="15.85546875" bestFit="1" customWidth="1"/>
    <col min="5" max="5" width="19.42578125" customWidth="1"/>
    <col min="7" max="7" width="11.42578125" bestFit="1" customWidth="1"/>
    <col min="10" max="10" width="18.28515625" customWidth="1"/>
    <col min="11" max="11" width="12.42578125" style="40" customWidth="1"/>
    <col min="12" max="12" width="0.5703125" customWidth="1"/>
    <col min="13" max="13" width="16.42578125" customWidth="1"/>
    <col min="14" max="14" width="15.85546875" customWidth="1"/>
  </cols>
  <sheetData>
    <row r="1" spans="1:14" ht="15.75" thickBot="1" x14ac:dyDescent="0.3">
      <c r="A1" s="1" t="s">
        <v>0</v>
      </c>
    </row>
    <row r="3" spans="1:14" ht="15.75" thickBot="1" x14ac:dyDescent="0.3">
      <c r="A3" s="1" t="s">
        <v>1</v>
      </c>
      <c r="B3" s="1" t="s">
        <v>19</v>
      </c>
      <c r="C3" s="6"/>
      <c r="E3" s="1" t="s">
        <v>24</v>
      </c>
      <c r="F3" s="1"/>
      <c r="G3" s="7">
        <v>10000</v>
      </c>
    </row>
    <row r="4" spans="1:14" ht="15.75" thickBot="1" x14ac:dyDescent="0.3">
      <c r="A4" s="2" t="s">
        <v>18</v>
      </c>
      <c r="B4" s="3">
        <v>43215</v>
      </c>
      <c r="E4" s="1" t="s">
        <v>4</v>
      </c>
      <c r="F4" s="7"/>
    </row>
    <row r="5" spans="1:14" ht="15.75" thickBot="1" x14ac:dyDescent="0.3">
      <c r="A5" s="1" t="s">
        <v>2</v>
      </c>
      <c r="B5" s="4">
        <v>0.189</v>
      </c>
      <c r="C5" s="6"/>
      <c r="E5" s="2" t="s">
        <v>5</v>
      </c>
      <c r="F5" s="1"/>
      <c r="G5" s="1"/>
    </row>
    <row r="6" spans="1:14" ht="15.75" thickBot="1" x14ac:dyDescent="0.3">
      <c r="A6" s="2" t="s">
        <v>3</v>
      </c>
      <c r="B6" s="3">
        <v>43223</v>
      </c>
      <c r="E6" s="2" t="s">
        <v>6</v>
      </c>
      <c r="F6" s="2"/>
      <c r="G6" s="2"/>
      <c r="H6" s="2"/>
    </row>
    <row r="11" spans="1:14" x14ac:dyDescent="0.25">
      <c r="F11" s="101" t="s">
        <v>46</v>
      </c>
      <c r="G11" s="101"/>
      <c r="H11" s="101"/>
      <c r="I11" s="101"/>
      <c r="J11" s="101"/>
      <c r="K11" s="100" t="s">
        <v>45</v>
      </c>
      <c r="L11" s="100"/>
      <c r="M11" s="100"/>
      <c r="N11" s="100"/>
    </row>
    <row r="12" spans="1:14" x14ac:dyDescent="0.25">
      <c r="A12" s="9"/>
      <c r="B12" s="9" t="s">
        <v>7</v>
      </c>
      <c r="C12" s="9" t="s">
        <v>8</v>
      </c>
      <c r="D12" s="9" t="s">
        <v>51</v>
      </c>
      <c r="E12" s="9" t="s">
        <v>10</v>
      </c>
      <c r="F12" s="96" t="s">
        <v>35</v>
      </c>
      <c r="G12" s="96"/>
      <c r="H12" s="96"/>
      <c r="I12" s="96"/>
      <c r="J12" s="9" t="s">
        <v>36</v>
      </c>
      <c r="K12" s="41" t="s">
        <v>44</v>
      </c>
      <c r="L12" s="9" t="s">
        <v>41</v>
      </c>
      <c r="M12" s="9" t="s">
        <v>37</v>
      </c>
      <c r="N12" s="9" t="s">
        <v>38</v>
      </c>
    </row>
    <row r="13" spans="1:14" x14ac:dyDescent="0.25">
      <c r="A13" s="10" t="s">
        <v>11</v>
      </c>
      <c r="B13" s="11">
        <v>43223</v>
      </c>
      <c r="C13" s="12">
        <v>0.189</v>
      </c>
      <c r="D13" s="13">
        <v>-1000</v>
      </c>
      <c r="E13" s="13">
        <f>D13*(-1)</f>
        <v>1000</v>
      </c>
      <c r="F13" s="93"/>
      <c r="G13" s="94"/>
      <c r="H13" s="94"/>
      <c r="I13" s="95"/>
      <c r="J13" s="31"/>
      <c r="K13" s="39"/>
      <c r="L13" s="31"/>
      <c r="M13" s="31"/>
      <c r="N13" s="31"/>
    </row>
    <row r="14" spans="1:14" x14ac:dyDescent="0.25">
      <c r="A14" s="10" t="s">
        <v>12</v>
      </c>
      <c r="B14" s="11">
        <v>43224</v>
      </c>
      <c r="C14" s="12">
        <v>0.189</v>
      </c>
      <c r="D14" s="13">
        <v>-500</v>
      </c>
      <c r="E14" s="13">
        <f>D14*(-1)+E13</f>
        <v>1500</v>
      </c>
      <c r="F14" s="93"/>
      <c r="G14" s="94"/>
      <c r="H14" s="94"/>
      <c r="I14" s="95"/>
      <c r="J14" s="31"/>
      <c r="K14" s="39"/>
      <c r="L14" s="31"/>
      <c r="M14" s="31"/>
      <c r="N14" s="31"/>
    </row>
    <row r="15" spans="1:14" x14ac:dyDescent="0.25">
      <c r="A15" s="10" t="s">
        <v>13</v>
      </c>
      <c r="B15" s="11">
        <v>43225</v>
      </c>
      <c r="C15" s="12">
        <v>0.189</v>
      </c>
      <c r="D15" s="13">
        <v>-1000</v>
      </c>
      <c r="E15" s="13">
        <f t="shared" ref="E15:E19" si="0">D15*(-1)+E14</f>
        <v>2500</v>
      </c>
      <c r="F15" s="93"/>
      <c r="G15" s="94"/>
      <c r="H15" s="94"/>
      <c r="I15" s="95"/>
      <c r="J15" s="31"/>
      <c r="K15" s="39"/>
      <c r="L15" s="31"/>
      <c r="M15" s="31"/>
      <c r="N15" s="31"/>
    </row>
    <row r="16" spans="1:14" x14ac:dyDescent="0.25">
      <c r="A16" s="10" t="s">
        <v>14</v>
      </c>
      <c r="B16" s="11">
        <v>43226</v>
      </c>
      <c r="C16" s="12">
        <v>0.189</v>
      </c>
      <c r="D16" s="13">
        <v>-1500</v>
      </c>
      <c r="E16" s="13">
        <f t="shared" si="0"/>
        <v>4000</v>
      </c>
      <c r="F16" s="93"/>
      <c r="G16" s="94"/>
      <c r="H16" s="94"/>
      <c r="I16" s="95"/>
      <c r="J16" s="31"/>
      <c r="K16" s="39"/>
      <c r="L16" s="31"/>
      <c r="M16" s="31"/>
      <c r="N16" s="31"/>
    </row>
    <row r="17" spans="1:16" x14ac:dyDescent="0.25">
      <c r="A17" s="10" t="s">
        <v>50</v>
      </c>
      <c r="B17" s="11">
        <v>43227</v>
      </c>
      <c r="C17" s="12">
        <v>0.189</v>
      </c>
      <c r="D17" s="13">
        <v>-100</v>
      </c>
      <c r="E17" s="13">
        <f t="shared" si="0"/>
        <v>4100</v>
      </c>
      <c r="F17" s="93"/>
      <c r="G17" s="94"/>
      <c r="H17" s="94"/>
      <c r="I17" s="95"/>
      <c r="J17" s="31"/>
      <c r="K17" s="39"/>
      <c r="L17" s="31"/>
      <c r="M17" s="31"/>
      <c r="N17" s="31"/>
    </row>
    <row r="18" spans="1:16" x14ac:dyDescent="0.25">
      <c r="A18" s="10" t="s">
        <v>22</v>
      </c>
      <c r="B18" s="11">
        <v>1138955</v>
      </c>
      <c r="C18" s="12">
        <v>0.189</v>
      </c>
      <c r="D18" s="13">
        <v>-300</v>
      </c>
      <c r="E18" s="13">
        <f t="shared" si="0"/>
        <v>4400</v>
      </c>
      <c r="F18" s="93"/>
      <c r="G18" s="94"/>
      <c r="H18" s="94"/>
      <c r="I18" s="95"/>
      <c r="J18" s="31"/>
      <c r="K18" s="39"/>
      <c r="L18" s="31"/>
      <c r="M18" s="31"/>
      <c r="N18" s="31"/>
    </row>
    <row r="19" spans="1:16" x14ac:dyDescent="0.25">
      <c r="A19" s="10" t="s">
        <v>15</v>
      </c>
      <c r="B19" s="11">
        <v>43229</v>
      </c>
      <c r="C19" s="12">
        <v>0.189</v>
      </c>
      <c r="D19" s="13">
        <v>-5600</v>
      </c>
      <c r="E19" s="13">
        <f t="shared" si="0"/>
        <v>10000</v>
      </c>
      <c r="F19" s="93"/>
      <c r="G19" s="94"/>
      <c r="H19" s="94"/>
      <c r="I19" s="95"/>
      <c r="J19" s="31"/>
      <c r="K19" s="39"/>
      <c r="L19" s="31"/>
      <c r="M19" s="31"/>
      <c r="N19" s="31"/>
    </row>
    <row r="20" spans="1:16" x14ac:dyDescent="0.25">
      <c r="A20" s="10" t="s">
        <v>17</v>
      </c>
      <c r="B20" s="11">
        <v>43252</v>
      </c>
      <c r="C20" s="12"/>
      <c r="D20" s="13"/>
      <c r="E20" s="13">
        <v>10000</v>
      </c>
      <c r="F20" s="93">
        <v>25</v>
      </c>
      <c r="G20" s="94"/>
      <c r="H20" s="94"/>
      <c r="I20" s="95"/>
      <c r="J20" s="31"/>
      <c r="K20" s="39">
        <v>43254</v>
      </c>
      <c r="L20" s="31"/>
      <c r="M20" s="31">
        <v>25</v>
      </c>
      <c r="N20" s="31"/>
    </row>
    <row r="21" spans="1:16" x14ac:dyDescent="0.25">
      <c r="A21" s="10" t="s">
        <v>16</v>
      </c>
      <c r="B21" s="11">
        <v>43254</v>
      </c>
      <c r="C21" s="12"/>
      <c r="D21" s="13">
        <v>4975</v>
      </c>
      <c r="E21" s="13">
        <v>5025</v>
      </c>
      <c r="F21" s="93"/>
      <c r="G21" s="94"/>
      <c r="H21" s="94"/>
      <c r="I21" s="95"/>
      <c r="J21" s="31"/>
      <c r="K21" s="39"/>
      <c r="L21" s="31"/>
      <c r="M21" s="31"/>
      <c r="N21" s="31"/>
    </row>
    <row r="22" spans="1:16" x14ac:dyDescent="0.25">
      <c r="A22" s="10" t="s">
        <v>23</v>
      </c>
      <c r="B22" s="11">
        <v>43266</v>
      </c>
      <c r="C22" s="12">
        <v>0.189</v>
      </c>
      <c r="D22" s="13">
        <v>-4975</v>
      </c>
      <c r="E22" s="13">
        <v>10000</v>
      </c>
      <c r="F22" s="93"/>
      <c r="G22" s="94"/>
      <c r="H22" s="94"/>
      <c r="I22" s="95"/>
      <c r="J22" s="31"/>
      <c r="K22" s="39"/>
      <c r="L22" s="31"/>
      <c r="M22" s="31"/>
      <c r="N22" s="31"/>
    </row>
    <row r="23" spans="1:16" x14ac:dyDescent="0.25">
      <c r="A23" s="14" t="s">
        <v>25</v>
      </c>
      <c r="B23" s="15">
        <v>43282</v>
      </c>
      <c r="C23" s="16"/>
      <c r="D23" s="14"/>
      <c r="E23" s="17">
        <v>10000</v>
      </c>
      <c r="F23" s="105"/>
      <c r="G23" s="106"/>
      <c r="H23" s="106"/>
      <c r="I23" s="107"/>
      <c r="J23" s="37"/>
      <c r="K23" s="42"/>
      <c r="L23" s="38"/>
      <c r="M23" s="31"/>
      <c r="N23" s="31"/>
    </row>
    <row r="24" spans="1:16" x14ac:dyDescent="0.25">
      <c r="A24" s="10" t="s">
        <v>26</v>
      </c>
      <c r="B24" s="11">
        <v>43282</v>
      </c>
      <c r="C24" s="12">
        <v>0.189</v>
      </c>
      <c r="D24" s="13"/>
      <c r="E24" s="13">
        <v>10000</v>
      </c>
      <c r="F24" s="93">
        <v>152</v>
      </c>
      <c r="G24" s="94"/>
      <c r="H24" s="94"/>
      <c r="I24" s="95"/>
      <c r="J24" s="31"/>
      <c r="K24" s="39">
        <v>43291</v>
      </c>
      <c r="L24" s="31"/>
      <c r="M24" s="31">
        <v>152</v>
      </c>
      <c r="N24" s="31"/>
    </row>
    <row r="25" spans="1:16" x14ac:dyDescent="0.25">
      <c r="A25" s="10" t="s">
        <v>16</v>
      </c>
      <c r="B25" s="11">
        <v>43291</v>
      </c>
      <c r="C25" s="12"/>
      <c r="D25" s="13">
        <v>848</v>
      </c>
      <c r="E25" s="13">
        <v>9152</v>
      </c>
      <c r="F25" s="93"/>
      <c r="G25" s="94"/>
      <c r="H25" s="94"/>
      <c r="I25" s="95"/>
      <c r="J25" s="31"/>
      <c r="K25" s="39"/>
      <c r="L25" s="31"/>
      <c r="M25" s="31"/>
      <c r="N25" s="31"/>
    </row>
    <row r="26" spans="1:16" x14ac:dyDescent="0.25">
      <c r="A26" s="10" t="s">
        <v>48</v>
      </c>
      <c r="B26" s="11">
        <v>43313</v>
      </c>
      <c r="C26" s="12"/>
      <c r="D26" s="13"/>
      <c r="E26" s="13"/>
      <c r="F26" s="83"/>
      <c r="G26" s="84"/>
      <c r="H26" s="84"/>
      <c r="I26" s="85"/>
      <c r="J26" s="31"/>
      <c r="K26" s="39"/>
      <c r="L26" s="31"/>
      <c r="M26" s="31"/>
      <c r="N26" s="31"/>
    </row>
    <row r="27" spans="1:16" x14ac:dyDescent="0.25">
      <c r="A27" s="10" t="s">
        <v>49</v>
      </c>
      <c r="B27" s="11">
        <v>43313</v>
      </c>
      <c r="C27" s="12">
        <v>0.189</v>
      </c>
      <c r="D27" s="13"/>
      <c r="E27" s="13">
        <v>9152</v>
      </c>
      <c r="F27" s="93">
        <v>148</v>
      </c>
      <c r="G27" s="94"/>
      <c r="H27" s="94"/>
      <c r="I27" s="95"/>
      <c r="J27" s="31"/>
      <c r="K27" s="39">
        <v>43656</v>
      </c>
      <c r="L27" s="31"/>
      <c r="M27" s="31">
        <v>148</v>
      </c>
      <c r="N27" s="31"/>
    </row>
    <row r="28" spans="1:16" x14ac:dyDescent="0.25">
      <c r="A28" s="10" t="s">
        <v>28</v>
      </c>
      <c r="B28" s="11">
        <v>43344</v>
      </c>
      <c r="C28" s="12">
        <v>0.189</v>
      </c>
      <c r="D28" s="13"/>
      <c r="E28" s="13">
        <v>9152</v>
      </c>
      <c r="F28" s="93">
        <v>149</v>
      </c>
      <c r="G28" s="94"/>
      <c r="H28" s="94"/>
      <c r="I28" s="95"/>
      <c r="J28" s="31"/>
      <c r="K28" s="39">
        <v>43656</v>
      </c>
      <c r="L28" s="31"/>
      <c r="M28" s="31">
        <v>149</v>
      </c>
      <c r="N28" s="31"/>
    </row>
    <row r="29" spans="1:16" x14ac:dyDescent="0.25">
      <c r="A29" s="14" t="s">
        <v>20</v>
      </c>
      <c r="B29" s="15">
        <v>43344</v>
      </c>
      <c r="C29" s="14"/>
      <c r="D29" s="14"/>
      <c r="E29" s="17">
        <f>E28</f>
        <v>9152</v>
      </c>
      <c r="F29" s="102">
        <f>SUM(F27:I28)</f>
        <v>297</v>
      </c>
      <c r="G29" s="103"/>
      <c r="H29" s="103"/>
      <c r="I29" s="104"/>
      <c r="J29" s="36"/>
      <c r="K29" s="43"/>
      <c r="L29" s="36"/>
      <c r="M29" s="31"/>
      <c r="N29" s="31"/>
    </row>
    <row r="30" spans="1:16" x14ac:dyDescent="0.25">
      <c r="A30" s="10" t="s">
        <v>16</v>
      </c>
      <c r="B30" s="11">
        <v>43344</v>
      </c>
      <c r="C30" s="10"/>
      <c r="D30" s="13">
        <v>5000</v>
      </c>
      <c r="E30" s="13">
        <v>4152</v>
      </c>
      <c r="F30" s="93"/>
      <c r="G30" s="94"/>
      <c r="H30" s="94"/>
      <c r="I30" s="95"/>
      <c r="J30" s="31"/>
      <c r="K30" s="39"/>
      <c r="L30" s="31"/>
      <c r="M30" s="31"/>
      <c r="N30" s="31"/>
    </row>
    <row r="31" spans="1:16" x14ac:dyDescent="0.25">
      <c r="A31" s="10" t="s">
        <v>32</v>
      </c>
      <c r="B31" s="11">
        <v>43374</v>
      </c>
      <c r="C31" s="10"/>
      <c r="D31" s="13"/>
      <c r="E31" s="13">
        <v>4152</v>
      </c>
      <c r="F31" s="83">
        <v>50</v>
      </c>
      <c r="G31" s="84"/>
      <c r="H31" s="84"/>
      <c r="I31" s="85"/>
      <c r="J31" s="31">
        <v>0</v>
      </c>
      <c r="K31" s="11">
        <v>43831</v>
      </c>
      <c r="L31" s="13">
        <v>50</v>
      </c>
      <c r="M31" s="31">
        <v>50</v>
      </c>
      <c r="N31" s="31"/>
      <c r="P31" t="s">
        <v>39</v>
      </c>
    </row>
    <row r="32" spans="1:16" x14ac:dyDescent="0.25">
      <c r="A32" s="10" t="s">
        <v>42</v>
      </c>
      <c r="B32" s="11">
        <v>43374</v>
      </c>
      <c r="C32" s="10"/>
      <c r="D32" s="13"/>
      <c r="E32" s="13">
        <v>4152</v>
      </c>
      <c r="F32" s="83">
        <v>110</v>
      </c>
      <c r="G32" s="84"/>
      <c r="H32" s="84"/>
      <c r="I32" s="85"/>
      <c r="J32" s="31">
        <v>40</v>
      </c>
      <c r="K32" s="11">
        <v>43862</v>
      </c>
      <c r="L32" s="13">
        <v>150</v>
      </c>
      <c r="M32" s="31">
        <v>110</v>
      </c>
      <c r="N32" s="31">
        <v>40</v>
      </c>
    </row>
    <row r="33" spans="1:14" x14ac:dyDescent="0.25">
      <c r="A33" s="10" t="s">
        <v>16</v>
      </c>
      <c r="B33" s="11">
        <v>43358</v>
      </c>
      <c r="C33" s="12">
        <v>0.189</v>
      </c>
      <c r="D33" s="13">
        <v>100</v>
      </c>
      <c r="E33" s="13">
        <v>4052</v>
      </c>
      <c r="F33" s="83"/>
      <c r="G33" s="84"/>
      <c r="H33" s="84"/>
      <c r="I33" s="85"/>
      <c r="J33" s="31"/>
      <c r="K33" s="11"/>
      <c r="L33" s="13"/>
      <c r="M33" s="31"/>
      <c r="N33" s="31"/>
    </row>
    <row r="34" spans="1:14" x14ac:dyDescent="0.25">
      <c r="A34" s="10" t="s">
        <v>43</v>
      </c>
      <c r="B34" s="11">
        <v>43374</v>
      </c>
      <c r="C34" s="12"/>
      <c r="D34" s="13"/>
      <c r="E34" s="13"/>
      <c r="F34" s="83">
        <v>110</v>
      </c>
      <c r="G34" s="84"/>
      <c r="H34" s="84"/>
      <c r="I34" s="85"/>
      <c r="J34" s="31">
        <v>40</v>
      </c>
      <c r="K34" s="11">
        <v>43862</v>
      </c>
      <c r="L34" s="13">
        <v>150</v>
      </c>
      <c r="M34" s="31">
        <v>110</v>
      </c>
      <c r="N34" s="31">
        <v>40</v>
      </c>
    </row>
    <row r="35" spans="1:14" x14ac:dyDescent="0.25">
      <c r="A35" s="10" t="s">
        <v>34</v>
      </c>
      <c r="B35" s="11">
        <v>43405</v>
      </c>
      <c r="C35" s="10"/>
      <c r="D35" s="13"/>
      <c r="E35" s="13">
        <v>4052</v>
      </c>
      <c r="F35" s="83">
        <v>130</v>
      </c>
      <c r="G35" s="84"/>
      <c r="H35" s="84"/>
      <c r="I35" s="85"/>
      <c r="J35" s="31">
        <v>60</v>
      </c>
      <c r="K35" s="11">
        <v>43862</v>
      </c>
      <c r="L35" s="13">
        <v>50</v>
      </c>
      <c r="M35" s="31">
        <v>50</v>
      </c>
      <c r="N35" s="31"/>
    </row>
    <row r="36" spans="1:14" x14ac:dyDescent="0.25">
      <c r="A36" s="10"/>
      <c r="B36" s="11"/>
      <c r="C36" s="10"/>
      <c r="D36" s="13"/>
      <c r="E36" s="13"/>
      <c r="F36" s="83"/>
      <c r="G36" s="84"/>
      <c r="H36" s="84"/>
      <c r="I36" s="85"/>
      <c r="J36" s="31"/>
      <c r="K36" s="11">
        <v>43863</v>
      </c>
      <c r="L36" s="13">
        <v>140</v>
      </c>
      <c r="M36" s="31">
        <v>80</v>
      </c>
      <c r="N36" s="31">
        <v>60</v>
      </c>
    </row>
    <row r="37" spans="1:14" x14ac:dyDescent="0.25">
      <c r="A37" s="10" t="s">
        <v>40</v>
      </c>
      <c r="B37" s="45">
        <v>43435</v>
      </c>
      <c r="C37" s="10"/>
      <c r="D37" s="13"/>
      <c r="E37" s="13">
        <v>4052</v>
      </c>
      <c r="F37" s="83">
        <v>115</v>
      </c>
      <c r="G37" s="84"/>
      <c r="H37" s="84"/>
      <c r="I37" s="85"/>
      <c r="J37" s="31">
        <v>55</v>
      </c>
      <c r="K37" s="11">
        <v>43891</v>
      </c>
      <c r="L37" s="13">
        <v>30</v>
      </c>
      <c r="M37" s="31">
        <v>30</v>
      </c>
      <c r="N37" s="31"/>
    </row>
    <row r="38" spans="1:14" x14ac:dyDescent="0.25">
      <c r="A38" s="10"/>
      <c r="B38" s="11"/>
      <c r="C38" s="10"/>
      <c r="D38" s="13"/>
      <c r="E38" s="13"/>
      <c r="F38" s="83"/>
      <c r="G38" s="84"/>
      <c r="H38" s="84"/>
      <c r="I38" s="85"/>
      <c r="J38" s="31"/>
      <c r="K38" s="11">
        <v>43892</v>
      </c>
      <c r="L38" s="13">
        <v>30</v>
      </c>
      <c r="M38" s="31">
        <v>30</v>
      </c>
      <c r="N38" s="31"/>
    </row>
    <row r="39" spans="1:14" x14ac:dyDescent="0.25">
      <c r="A39" s="10"/>
      <c r="B39" s="11"/>
      <c r="C39" s="10"/>
      <c r="D39" s="13"/>
      <c r="E39" s="13"/>
      <c r="F39" s="83"/>
      <c r="G39" s="84"/>
      <c r="H39" s="84"/>
      <c r="I39" s="85"/>
      <c r="J39" s="31"/>
      <c r="K39" s="11">
        <v>43922</v>
      </c>
      <c r="L39" s="13">
        <v>110</v>
      </c>
      <c r="M39" s="31">
        <v>55</v>
      </c>
      <c r="N39" s="31">
        <v>55</v>
      </c>
    </row>
    <row r="40" spans="1:14" x14ac:dyDescent="0.25">
      <c r="A40" s="10" t="s">
        <v>16</v>
      </c>
      <c r="B40" s="11">
        <v>43434</v>
      </c>
      <c r="C40" s="10"/>
      <c r="D40" s="13">
        <v>4052</v>
      </c>
      <c r="E40" s="13">
        <v>0</v>
      </c>
      <c r="F40" s="83"/>
      <c r="G40" s="84"/>
      <c r="H40" s="84"/>
      <c r="I40" s="85"/>
      <c r="J40" s="31"/>
      <c r="K40" s="39"/>
      <c r="L40" s="31"/>
      <c r="M40" s="31"/>
      <c r="N40" s="31"/>
    </row>
    <row r="41" spans="1:14" x14ac:dyDescent="0.25">
      <c r="A41" s="14" t="s">
        <v>29</v>
      </c>
      <c r="B41" s="15">
        <v>43435</v>
      </c>
      <c r="C41" s="14"/>
      <c r="D41" s="14"/>
      <c r="E41" s="17">
        <v>0</v>
      </c>
      <c r="F41" s="97"/>
      <c r="G41" s="98"/>
      <c r="H41" s="98"/>
      <c r="I41" s="99"/>
      <c r="J41" s="35"/>
      <c r="K41" s="43"/>
      <c r="L41" s="36"/>
      <c r="M41" s="31"/>
      <c r="N41" s="31"/>
    </row>
    <row r="42" spans="1:14" x14ac:dyDescent="0.25">
      <c r="A42" s="10"/>
      <c r="B42" s="11"/>
      <c r="C42" s="10"/>
      <c r="D42" s="13"/>
      <c r="E42" s="13"/>
      <c r="F42" s="93"/>
      <c r="G42" s="94"/>
      <c r="H42" s="94"/>
      <c r="I42" s="95"/>
      <c r="J42" s="34"/>
      <c r="K42" s="39"/>
      <c r="L42" s="31"/>
      <c r="M42" s="31"/>
      <c r="N42" s="31"/>
    </row>
    <row r="45" spans="1:14" x14ac:dyDescent="0.25">
      <c r="A45" s="26" t="s">
        <v>31</v>
      </c>
    </row>
    <row r="47" spans="1:14" x14ac:dyDescent="0.25">
      <c r="F47" s="44" t="s">
        <v>47</v>
      </c>
    </row>
  </sheetData>
  <mergeCells count="33">
    <mergeCell ref="F41:I41"/>
    <mergeCell ref="F42:I42"/>
    <mergeCell ref="K11:N11"/>
    <mergeCell ref="F11:J11"/>
    <mergeCell ref="F24:I24"/>
    <mergeCell ref="F25:I25"/>
    <mergeCell ref="F27:I27"/>
    <mergeCell ref="F28:I28"/>
    <mergeCell ref="F29:I29"/>
    <mergeCell ref="F30:I30"/>
    <mergeCell ref="F18:I18"/>
    <mergeCell ref="F19:I19"/>
    <mergeCell ref="F20:I20"/>
    <mergeCell ref="F21:I21"/>
    <mergeCell ref="F22:I22"/>
    <mergeCell ref="F23:I23"/>
    <mergeCell ref="F17:I17"/>
    <mergeCell ref="F12:I12"/>
    <mergeCell ref="F13:I13"/>
    <mergeCell ref="F14:I14"/>
    <mergeCell ref="F15:I15"/>
    <mergeCell ref="F16:I16"/>
    <mergeCell ref="F26:I26"/>
    <mergeCell ref="F31:I31"/>
    <mergeCell ref="F32:I32"/>
    <mergeCell ref="F33:I33"/>
    <mergeCell ref="F34:I34"/>
    <mergeCell ref="F40:I40"/>
    <mergeCell ref="F35:I35"/>
    <mergeCell ref="F36:I36"/>
    <mergeCell ref="F37:I37"/>
    <mergeCell ref="F38:I38"/>
    <mergeCell ref="F39:I39"/>
  </mergeCells>
  <pageMargins left="0.7" right="0.7" top="0.78740157499999996" bottom="0.78740157499999996" header="0.3" footer="0.3"/>
  <pageSetup paperSize="9" orientation="portrait" r:id="rId1"/>
  <headerFooter>
    <oddHeader xml:space="preserve">&amp;R&amp;10&amp;"Arial"Air Bank / interní
&amp;"Arial"&amp;06 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P47"/>
  <sheetViews>
    <sheetView workbookViewId="0">
      <selection activeCell="O16" sqref="O16"/>
    </sheetView>
  </sheetViews>
  <sheetFormatPr defaultRowHeight="15" x14ac:dyDescent="0.25"/>
  <cols>
    <col min="1" max="1" width="45.7109375" customWidth="1"/>
    <col min="2" max="2" width="10.5703125" customWidth="1"/>
    <col min="3" max="3" width="0.5703125" customWidth="1"/>
    <col min="4" max="4" width="15.85546875" bestFit="1" customWidth="1"/>
    <col min="5" max="5" width="19.42578125" customWidth="1"/>
    <col min="7" max="7" width="11.42578125" bestFit="1" customWidth="1"/>
    <col min="10" max="10" width="18.28515625" customWidth="1"/>
    <col min="11" max="11" width="12.42578125" style="40" customWidth="1"/>
    <col min="12" max="12" width="9.28515625" customWidth="1"/>
    <col min="13" max="13" width="16.42578125" customWidth="1"/>
    <col min="14" max="14" width="15.85546875" customWidth="1"/>
  </cols>
  <sheetData>
    <row r="1" spans="1:14" ht="15.75" thickBot="1" x14ac:dyDescent="0.3">
      <c r="A1" s="1" t="s">
        <v>0</v>
      </c>
    </row>
    <row r="3" spans="1:14" ht="15.75" thickBot="1" x14ac:dyDescent="0.3">
      <c r="A3" s="1" t="s">
        <v>1</v>
      </c>
      <c r="B3" s="1" t="s">
        <v>19</v>
      </c>
      <c r="C3" s="6"/>
      <c r="E3" s="1" t="s">
        <v>24</v>
      </c>
      <c r="F3" s="1"/>
      <c r="G3" s="7">
        <v>10000</v>
      </c>
    </row>
    <row r="4" spans="1:14" ht="15.75" thickBot="1" x14ac:dyDescent="0.3">
      <c r="A4" s="2" t="s">
        <v>18</v>
      </c>
      <c r="B4" s="3">
        <v>43215</v>
      </c>
      <c r="E4" s="2" t="s">
        <v>10</v>
      </c>
      <c r="F4" s="7" t="e">
        <f>#REF!</f>
        <v>#REF!</v>
      </c>
    </row>
    <row r="5" spans="1:14" ht="15.75" thickBot="1" x14ac:dyDescent="0.3">
      <c r="A5" s="1" t="s">
        <v>2</v>
      </c>
      <c r="B5" s="4">
        <v>0.189</v>
      </c>
      <c r="C5" s="6"/>
      <c r="E5" s="1" t="s">
        <v>4</v>
      </c>
      <c r="F5" s="1"/>
      <c r="G5" s="1"/>
      <c r="I5" s="7" t="e">
        <f>#REF!</f>
        <v>#REF!</v>
      </c>
    </row>
    <row r="6" spans="1:14" ht="15.75" thickBot="1" x14ac:dyDescent="0.3">
      <c r="A6" s="2"/>
      <c r="B6" s="5"/>
      <c r="E6" s="2" t="s">
        <v>5</v>
      </c>
      <c r="F6" s="2"/>
      <c r="G6" s="2"/>
      <c r="H6" s="2"/>
      <c r="I6" s="8" t="e">
        <f>#REF!</f>
        <v>#REF!</v>
      </c>
    </row>
    <row r="7" spans="1:14" ht="15.75" thickBot="1" x14ac:dyDescent="0.3">
      <c r="A7" s="2" t="s">
        <v>3</v>
      </c>
      <c r="B7" s="3">
        <v>43223</v>
      </c>
      <c r="E7" s="2" t="s">
        <v>6</v>
      </c>
      <c r="F7" s="2"/>
      <c r="G7" s="2"/>
      <c r="H7" s="2"/>
      <c r="I7" s="8" t="e">
        <f>#REF!</f>
        <v>#REF!</v>
      </c>
    </row>
    <row r="11" spans="1:14" x14ac:dyDescent="0.25">
      <c r="F11" s="101" t="s">
        <v>46</v>
      </c>
      <c r="G11" s="101"/>
      <c r="H11" s="101"/>
      <c r="I11" s="101"/>
      <c r="J11" s="101"/>
      <c r="K11" s="100" t="s">
        <v>45</v>
      </c>
      <c r="L11" s="100"/>
      <c r="M11" s="100"/>
      <c r="N11" s="100"/>
    </row>
    <row r="12" spans="1:14" x14ac:dyDescent="0.25">
      <c r="A12" s="9"/>
      <c r="B12" s="9" t="s">
        <v>7</v>
      </c>
      <c r="C12" s="9" t="s">
        <v>8</v>
      </c>
      <c r="D12" s="9" t="s">
        <v>9</v>
      </c>
      <c r="E12" s="9" t="s">
        <v>10</v>
      </c>
      <c r="F12" s="108" t="s">
        <v>35</v>
      </c>
      <c r="G12" s="108"/>
      <c r="H12" s="108"/>
      <c r="I12" s="108"/>
      <c r="J12" s="9" t="s">
        <v>36</v>
      </c>
      <c r="K12" s="41" t="s">
        <v>44</v>
      </c>
      <c r="L12" s="9" t="s">
        <v>41</v>
      </c>
      <c r="M12" s="9" t="s">
        <v>37</v>
      </c>
      <c r="N12" s="9" t="s">
        <v>38</v>
      </c>
    </row>
    <row r="13" spans="1:14" x14ac:dyDescent="0.25">
      <c r="A13" s="10" t="s">
        <v>11</v>
      </c>
      <c r="B13" s="11">
        <v>43223</v>
      </c>
      <c r="C13" s="12">
        <v>0.189</v>
      </c>
      <c r="D13" s="13">
        <v>-1000</v>
      </c>
      <c r="E13" s="13">
        <f>D13*(-1)</f>
        <v>1000</v>
      </c>
      <c r="F13" s="83"/>
      <c r="G13" s="84"/>
      <c r="H13" s="84"/>
      <c r="I13" s="85"/>
      <c r="J13" s="31"/>
      <c r="K13" s="39"/>
      <c r="L13" s="31"/>
      <c r="M13" s="31"/>
      <c r="N13" s="31"/>
    </row>
    <row r="14" spans="1:14" x14ac:dyDescent="0.25">
      <c r="A14" s="10" t="s">
        <v>12</v>
      </c>
      <c r="B14" s="11">
        <v>43224</v>
      </c>
      <c r="C14" s="12">
        <v>0.189</v>
      </c>
      <c r="D14" s="13">
        <v>-500</v>
      </c>
      <c r="E14" s="13">
        <f>D14*(-1)+E13</f>
        <v>1500</v>
      </c>
      <c r="F14" s="83"/>
      <c r="G14" s="84"/>
      <c r="H14" s="84"/>
      <c r="I14" s="85"/>
      <c r="J14" s="31"/>
      <c r="K14" s="39"/>
      <c r="L14" s="31"/>
      <c r="M14" s="31"/>
      <c r="N14" s="31"/>
    </row>
    <row r="15" spans="1:14" x14ac:dyDescent="0.25">
      <c r="A15" s="10" t="s">
        <v>13</v>
      </c>
      <c r="B15" s="11">
        <v>43225</v>
      </c>
      <c r="C15" s="12">
        <v>0.189</v>
      </c>
      <c r="D15" s="13">
        <v>-1000</v>
      </c>
      <c r="E15" s="13">
        <f t="shared" ref="E15:E19" si="0">D15*(-1)+E14</f>
        <v>2500</v>
      </c>
      <c r="F15" s="83"/>
      <c r="G15" s="84"/>
      <c r="H15" s="84"/>
      <c r="I15" s="85"/>
      <c r="J15" s="31"/>
      <c r="K15" s="39"/>
      <c r="L15" s="31"/>
      <c r="M15" s="31"/>
      <c r="N15" s="31"/>
    </row>
    <row r="16" spans="1:14" x14ac:dyDescent="0.25">
      <c r="A16" s="10" t="s">
        <v>14</v>
      </c>
      <c r="B16" s="11">
        <v>43226</v>
      </c>
      <c r="C16" s="12">
        <v>0.189</v>
      </c>
      <c r="D16" s="13">
        <v>-1500</v>
      </c>
      <c r="E16" s="13">
        <f t="shared" si="0"/>
        <v>4000</v>
      </c>
      <c r="F16" s="83"/>
      <c r="G16" s="84"/>
      <c r="H16" s="84"/>
      <c r="I16" s="85"/>
      <c r="J16" s="31"/>
      <c r="K16" s="39"/>
      <c r="L16" s="31"/>
      <c r="M16" s="31"/>
      <c r="N16" s="31"/>
    </row>
    <row r="17" spans="1:16" x14ac:dyDescent="0.25">
      <c r="A17" s="10" t="s">
        <v>21</v>
      </c>
      <c r="B17" s="11">
        <v>43227</v>
      </c>
      <c r="C17" s="12">
        <v>0.189</v>
      </c>
      <c r="D17" s="13">
        <v>-100</v>
      </c>
      <c r="E17" s="13">
        <f t="shared" si="0"/>
        <v>4100</v>
      </c>
      <c r="F17" s="83"/>
      <c r="G17" s="84"/>
      <c r="H17" s="84"/>
      <c r="I17" s="85"/>
      <c r="J17" s="31"/>
      <c r="K17" s="39"/>
      <c r="L17" s="31"/>
      <c r="M17" s="31"/>
      <c r="N17" s="31"/>
    </row>
    <row r="18" spans="1:16" x14ac:dyDescent="0.25">
      <c r="A18" s="10" t="s">
        <v>22</v>
      </c>
      <c r="B18" s="11">
        <v>1138955</v>
      </c>
      <c r="C18" s="12">
        <v>0.189</v>
      </c>
      <c r="D18" s="13">
        <v>-300</v>
      </c>
      <c r="E18" s="13">
        <f t="shared" si="0"/>
        <v>4400</v>
      </c>
      <c r="F18" s="83"/>
      <c r="G18" s="84"/>
      <c r="H18" s="84"/>
      <c r="I18" s="85"/>
      <c r="J18" s="31"/>
      <c r="K18" s="39"/>
      <c r="L18" s="31"/>
      <c r="M18" s="31"/>
      <c r="N18" s="31"/>
    </row>
    <row r="19" spans="1:16" x14ac:dyDescent="0.25">
      <c r="A19" s="10" t="s">
        <v>15</v>
      </c>
      <c r="B19" s="11">
        <v>43229</v>
      </c>
      <c r="C19" s="12">
        <v>0.189</v>
      </c>
      <c r="D19" s="13">
        <v>-5600</v>
      </c>
      <c r="E19" s="13">
        <f t="shared" si="0"/>
        <v>10000</v>
      </c>
      <c r="F19" s="83"/>
      <c r="G19" s="84"/>
      <c r="H19" s="84"/>
      <c r="I19" s="85"/>
      <c r="J19" s="31"/>
      <c r="K19" s="39"/>
      <c r="L19" s="31"/>
      <c r="M19" s="31"/>
      <c r="N19" s="31"/>
    </row>
    <row r="20" spans="1:16" x14ac:dyDescent="0.25">
      <c r="A20" s="10" t="s">
        <v>17</v>
      </c>
      <c r="B20" s="11">
        <v>43252</v>
      </c>
      <c r="C20" s="12"/>
      <c r="D20" s="13">
        <v>-25</v>
      </c>
      <c r="E20" s="13">
        <v>10000</v>
      </c>
      <c r="F20" s="83">
        <v>25</v>
      </c>
      <c r="G20" s="84"/>
      <c r="H20" s="84"/>
      <c r="I20" s="85"/>
      <c r="J20" s="31"/>
      <c r="K20" s="39">
        <v>43254</v>
      </c>
      <c r="L20" s="31"/>
      <c r="M20" s="31">
        <v>25</v>
      </c>
      <c r="N20" s="31"/>
    </row>
    <row r="21" spans="1:16" x14ac:dyDescent="0.25">
      <c r="A21" s="10" t="s">
        <v>16</v>
      </c>
      <c r="B21" s="11">
        <v>43254</v>
      </c>
      <c r="C21" s="12"/>
      <c r="D21" s="13">
        <v>4975</v>
      </c>
      <c r="E21" s="13">
        <v>5025</v>
      </c>
      <c r="F21" s="83"/>
      <c r="G21" s="84"/>
      <c r="H21" s="84"/>
      <c r="I21" s="85"/>
      <c r="J21" s="31"/>
      <c r="K21" s="39"/>
      <c r="L21" s="31"/>
      <c r="M21" s="31"/>
      <c r="N21" s="31"/>
    </row>
    <row r="22" spans="1:16" x14ac:dyDescent="0.25">
      <c r="A22" s="10" t="s">
        <v>23</v>
      </c>
      <c r="B22" s="11">
        <v>43266</v>
      </c>
      <c r="C22" s="12">
        <v>0.189</v>
      </c>
      <c r="D22" s="13">
        <v>-7500</v>
      </c>
      <c r="E22" s="13">
        <v>10000</v>
      </c>
      <c r="F22" s="83"/>
      <c r="G22" s="84"/>
      <c r="H22" s="84"/>
      <c r="I22" s="85"/>
      <c r="J22" s="31"/>
      <c r="K22" s="39"/>
      <c r="L22" s="31"/>
      <c r="M22" s="31"/>
      <c r="N22" s="31"/>
    </row>
    <row r="23" spans="1:16" x14ac:dyDescent="0.25">
      <c r="A23" s="14" t="s">
        <v>25</v>
      </c>
      <c r="B23" s="15">
        <v>43282</v>
      </c>
      <c r="C23" s="16"/>
      <c r="D23" s="14"/>
      <c r="E23" s="18">
        <f>D23*(-1)+E22</f>
        <v>10000</v>
      </c>
      <c r="F23" s="109"/>
      <c r="G23" s="110"/>
      <c r="H23" s="110"/>
      <c r="I23" s="111"/>
      <c r="J23" s="37"/>
      <c r="K23" s="42"/>
      <c r="L23" s="38"/>
      <c r="M23" s="31"/>
      <c r="N23" s="31"/>
    </row>
    <row r="24" spans="1:16" x14ac:dyDescent="0.25">
      <c r="A24" s="10" t="s">
        <v>26</v>
      </c>
      <c r="B24" s="11">
        <v>43282</v>
      </c>
      <c r="C24" s="12">
        <v>0.189</v>
      </c>
      <c r="D24" s="13">
        <v>-152</v>
      </c>
      <c r="E24" s="13">
        <v>10000</v>
      </c>
      <c r="F24" s="83">
        <v>152</v>
      </c>
      <c r="G24" s="84"/>
      <c r="H24" s="84"/>
      <c r="I24" s="85"/>
      <c r="J24" s="31"/>
      <c r="K24" s="39">
        <v>43291</v>
      </c>
      <c r="L24" s="31"/>
      <c r="M24" s="31">
        <v>152</v>
      </c>
      <c r="N24" s="31"/>
    </row>
    <row r="25" spans="1:16" x14ac:dyDescent="0.25">
      <c r="A25" s="10" t="s">
        <v>16</v>
      </c>
      <c r="B25" s="11">
        <v>43291</v>
      </c>
      <c r="C25" s="12"/>
      <c r="D25" s="13">
        <v>848</v>
      </c>
      <c r="E25" s="13">
        <v>9152</v>
      </c>
      <c r="F25" s="83"/>
      <c r="G25" s="84"/>
      <c r="H25" s="84"/>
      <c r="I25" s="85"/>
      <c r="J25" s="31"/>
      <c r="K25" s="39"/>
      <c r="L25" s="31"/>
      <c r="M25" s="31"/>
      <c r="N25" s="31"/>
    </row>
    <row r="26" spans="1:16" x14ac:dyDescent="0.25">
      <c r="A26" s="10" t="s">
        <v>48</v>
      </c>
      <c r="B26" s="11">
        <v>43313</v>
      </c>
      <c r="C26" s="12"/>
      <c r="D26" s="13"/>
      <c r="E26" s="13"/>
      <c r="F26" s="31"/>
      <c r="G26" s="32"/>
      <c r="H26" s="32"/>
      <c r="I26" s="33"/>
      <c r="J26" s="31"/>
      <c r="K26" s="39"/>
      <c r="L26" s="31"/>
      <c r="M26" s="31"/>
      <c r="N26" s="31"/>
    </row>
    <row r="27" spans="1:16" x14ac:dyDescent="0.25">
      <c r="A27" s="10" t="s">
        <v>49</v>
      </c>
      <c r="B27" s="11">
        <v>43313</v>
      </c>
      <c r="C27" s="12">
        <v>0.189</v>
      </c>
      <c r="D27" s="13">
        <v>-148</v>
      </c>
      <c r="E27" s="13">
        <v>9152</v>
      </c>
      <c r="F27" s="83">
        <f>D27*(-1)</f>
        <v>148</v>
      </c>
      <c r="G27" s="84"/>
      <c r="H27" s="84"/>
      <c r="I27" s="85"/>
      <c r="J27" s="31"/>
      <c r="K27" s="39">
        <v>43291</v>
      </c>
      <c r="L27" s="31"/>
      <c r="M27" s="31">
        <v>148</v>
      </c>
      <c r="N27" s="31"/>
    </row>
    <row r="28" spans="1:16" x14ac:dyDescent="0.25">
      <c r="A28" s="10" t="s">
        <v>28</v>
      </c>
      <c r="B28" s="11">
        <v>43344</v>
      </c>
      <c r="C28" s="12">
        <v>0.189</v>
      </c>
      <c r="D28" s="13">
        <v>-149</v>
      </c>
      <c r="E28" s="13">
        <v>9152</v>
      </c>
      <c r="F28" s="83">
        <v>149</v>
      </c>
      <c r="G28" s="84"/>
      <c r="H28" s="84"/>
      <c r="I28" s="85"/>
      <c r="J28" s="31"/>
      <c r="K28" s="39">
        <v>43291</v>
      </c>
      <c r="L28" s="31"/>
      <c r="M28" s="31">
        <v>149</v>
      </c>
      <c r="N28" s="31"/>
    </row>
    <row r="29" spans="1:16" x14ac:dyDescent="0.25">
      <c r="A29" s="14" t="s">
        <v>20</v>
      </c>
      <c r="B29" s="15">
        <v>43344</v>
      </c>
      <c r="C29" s="14"/>
      <c r="D29" s="14"/>
      <c r="E29" s="17">
        <f>E28</f>
        <v>9152</v>
      </c>
      <c r="F29" s="88"/>
      <c r="G29" s="89"/>
      <c r="H29" s="89"/>
      <c r="I29" s="90"/>
      <c r="J29" s="36"/>
      <c r="K29" s="43"/>
      <c r="L29" s="36"/>
      <c r="M29" s="31"/>
      <c r="N29" s="31"/>
    </row>
    <row r="30" spans="1:16" x14ac:dyDescent="0.25">
      <c r="A30" s="10" t="s">
        <v>16</v>
      </c>
      <c r="B30" s="11">
        <v>43344</v>
      </c>
      <c r="C30" s="10"/>
      <c r="D30" s="13">
        <v>5000</v>
      </c>
      <c r="E30" s="13">
        <v>4152</v>
      </c>
      <c r="F30" s="83"/>
      <c r="G30" s="84"/>
      <c r="H30" s="84"/>
      <c r="I30" s="85"/>
      <c r="J30" s="31"/>
      <c r="K30" s="39"/>
      <c r="L30" s="31"/>
      <c r="M30" s="31"/>
      <c r="N30" s="31"/>
    </row>
    <row r="31" spans="1:16" x14ac:dyDescent="0.25">
      <c r="A31" s="10" t="s">
        <v>32</v>
      </c>
      <c r="B31" s="11">
        <v>43374</v>
      </c>
      <c r="C31" s="10"/>
      <c r="D31" s="13"/>
      <c r="E31" s="13">
        <v>4152</v>
      </c>
      <c r="F31" s="31"/>
      <c r="G31" s="32"/>
      <c r="H31" s="32"/>
      <c r="I31" s="33">
        <v>50</v>
      </c>
      <c r="J31" s="31">
        <v>0</v>
      </c>
      <c r="K31" s="11">
        <v>43831</v>
      </c>
      <c r="L31" s="13">
        <v>50</v>
      </c>
      <c r="M31" s="31">
        <v>50</v>
      </c>
      <c r="N31" s="31"/>
      <c r="P31" t="s">
        <v>39</v>
      </c>
    </row>
    <row r="32" spans="1:16" x14ac:dyDescent="0.25">
      <c r="A32" s="10" t="s">
        <v>42</v>
      </c>
      <c r="B32" s="11">
        <v>43374</v>
      </c>
      <c r="C32" s="10"/>
      <c r="D32" s="13"/>
      <c r="E32" s="13">
        <v>4152</v>
      </c>
      <c r="F32" s="31"/>
      <c r="G32" s="32"/>
      <c r="H32" s="32"/>
      <c r="I32" s="33">
        <v>110</v>
      </c>
      <c r="J32" s="31">
        <v>40</v>
      </c>
      <c r="K32" s="11">
        <v>43862</v>
      </c>
      <c r="L32" s="13">
        <v>150</v>
      </c>
      <c r="M32" s="31">
        <v>110</v>
      </c>
      <c r="N32" s="31">
        <v>40</v>
      </c>
    </row>
    <row r="33" spans="1:14" x14ac:dyDescent="0.25">
      <c r="A33" s="10" t="s">
        <v>16</v>
      </c>
      <c r="B33" s="11">
        <v>43358</v>
      </c>
      <c r="C33" s="12">
        <v>0.189</v>
      </c>
      <c r="D33" s="13">
        <v>100</v>
      </c>
      <c r="E33" s="13">
        <v>4052</v>
      </c>
      <c r="F33" s="31"/>
      <c r="G33" s="32"/>
      <c r="H33" s="32"/>
      <c r="I33" s="33"/>
      <c r="J33" s="31"/>
      <c r="K33" s="11"/>
      <c r="L33" s="13"/>
      <c r="M33" s="31"/>
      <c r="N33" s="31"/>
    </row>
    <row r="34" spans="1:14" x14ac:dyDescent="0.25">
      <c r="A34" s="10" t="s">
        <v>43</v>
      </c>
      <c r="B34" s="11">
        <v>43374</v>
      </c>
      <c r="C34" s="12"/>
      <c r="D34" s="13"/>
      <c r="E34" s="13"/>
      <c r="F34" s="31"/>
      <c r="G34" s="32"/>
      <c r="H34" s="32"/>
      <c r="I34" s="33">
        <v>110</v>
      </c>
      <c r="J34" s="31">
        <v>40</v>
      </c>
      <c r="K34" s="11">
        <v>43862</v>
      </c>
      <c r="L34" s="13">
        <v>150</v>
      </c>
      <c r="M34" s="31">
        <v>110</v>
      </c>
      <c r="N34" s="31">
        <v>40</v>
      </c>
    </row>
    <row r="35" spans="1:14" x14ac:dyDescent="0.25">
      <c r="A35" s="10" t="s">
        <v>34</v>
      </c>
      <c r="B35" s="11">
        <v>43405</v>
      </c>
      <c r="C35" s="10"/>
      <c r="D35" s="13"/>
      <c r="E35" s="13">
        <v>4052</v>
      </c>
      <c r="F35" s="31"/>
      <c r="G35" s="32"/>
      <c r="H35" s="32"/>
      <c r="I35" s="33">
        <v>130</v>
      </c>
      <c r="J35" s="31">
        <v>60</v>
      </c>
      <c r="K35" s="11">
        <v>43862</v>
      </c>
      <c r="L35" s="13">
        <v>50</v>
      </c>
      <c r="M35" s="31">
        <v>50</v>
      </c>
      <c r="N35" s="31"/>
    </row>
    <row r="36" spans="1:14" x14ac:dyDescent="0.25">
      <c r="A36" s="10"/>
      <c r="B36" s="11"/>
      <c r="C36" s="10"/>
      <c r="D36" s="13"/>
      <c r="E36" s="13"/>
      <c r="F36" s="31"/>
      <c r="G36" s="32"/>
      <c r="H36" s="32"/>
      <c r="I36" s="33"/>
      <c r="J36" s="31"/>
      <c r="K36" s="11">
        <v>43863</v>
      </c>
      <c r="L36" s="13">
        <v>140</v>
      </c>
      <c r="M36" s="31">
        <v>80</v>
      </c>
      <c r="N36" s="31">
        <v>60</v>
      </c>
    </row>
    <row r="37" spans="1:14" x14ac:dyDescent="0.25">
      <c r="A37" s="10" t="s">
        <v>40</v>
      </c>
      <c r="B37" s="45">
        <v>43435</v>
      </c>
      <c r="C37" s="10"/>
      <c r="D37" s="13"/>
      <c r="E37" s="13">
        <v>4052</v>
      </c>
      <c r="F37" s="31"/>
      <c r="G37" s="32"/>
      <c r="H37" s="32"/>
      <c r="I37" s="33">
        <v>115</v>
      </c>
      <c r="J37" s="31">
        <v>55</v>
      </c>
      <c r="K37" s="11">
        <v>43891</v>
      </c>
      <c r="L37" s="13">
        <v>30</v>
      </c>
      <c r="M37" s="31">
        <v>30</v>
      </c>
      <c r="N37" s="31"/>
    </row>
    <row r="38" spans="1:14" x14ac:dyDescent="0.25">
      <c r="A38" s="10"/>
      <c r="B38" s="11"/>
      <c r="C38" s="10"/>
      <c r="D38" s="13"/>
      <c r="E38" s="13"/>
      <c r="F38" s="31"/>
      <c r="G38" s="32"/>
      <c r="H38" s="32"/>
      <c r="I38" s="33"/>
      <c r="J38" s="31"/>
      <c r="K38" s="11">
        <v>43892</v>
      </c>
      <c r="L38" s="13">
        <v>30</v>
      </c>
      <c r="M38" s="31">
        <v>30</v>
      </c>
      <c r="N38" s="31"/>
    </row>
    <row r="39" spans="1:14" x14ac:dyDescent="0.25">
      <c r="A39" s="10"/>
      <c r="B39" s="11"/>
      <c r="C39" s="10"/>
      <c r="D39" s="13"/>
      <c r="E39" s="13"/>
      <c r="F39" s="31"/>
      <c r="G39" s="32"/>
      <c r="H39" s="32"/>
      <c r="I39" s="33"/>
      <c r="J39" s="31"/>
      <c r="K39" s="11">
        <v>43922</v>
      </c>
      <c r="L39" s="13">
        <v>110</v>
      </c>
      <c r="M39" s="31">
        <v>55</v>
      </c>
      <c r="N39" s="31">
        <v>55</v>
      </c>
    </row>
    <row r="40" spans="1:14" x14ac:dyDescent="0.25">
      <c r="A40" s="10" t="s">
        <v>16</v>
      </c>
      <c r="B40" s="11">
        <v>43434</v>
      </c>
      <c r="C40" s="10"/>
      <c r="D40" s="13">
        <v>4052</v>
      </c>
      <c r="E40" s="13">
        <v>0</v>
      </c>
      <c r="F40" s="31"/>
      <c r="G40" s="32"/>
      <c r="H40" s="32"/>
      <c r="I40" s="33"/>
      <c r="J40" s="31"/>
      <c r="K40" s="39"/>
      <c r="L40" s="31"/>
      <c r="M40" s="31"/>
      <c r="N40" s="31"/>
    </row>
    <row r="41" spans="1:14" x14ac:dyDescent="0.25">
      <c r="A41" s="14" t="s">
        <v>29</v>
      </c>
      <c r="B41" s="15">
        <v>43435</v>
      </c>
      <c r="C41" s="14"/>
      <c r="D41" s="14"/>
      <c r="E41" s="17">
        <v>0</v>
      </c>
      <c r="F41" s="88">
        <v>0</v>
      </c>
      <c r="G41" s="89"/>
      <c r="H41" s="89"/>
      <c r="I41" s="90"/>
      <c r="J41" s="35"/>
      <c r="K41" s="43"/>
      <c r="L41" s="36"/>
      <c r="M41" s="31"/>
      <c r="N41" s="31"/>
    </row>
    <row r="42" spans="1:14" x14ac:dyDescent="0.25">
      <c r="A42" s="10"/>
      <c r="B42" s="11"/>
      <c r="C42" s="10"/>
      <c r="D42" s="13"/>
      <c r="E42" s="13"/>
      <c r="F42" s="83"/>
      <c r="G42" s="84"/>
      <c r="H42" s="84"/>
      <c r="I42" s="85"/>
      <c r="J42" s="34"/>
      <c r="K42" s="39"/>
      <c r="L42" s="31"/>
      <c r="M42" s="31"/>
      <c r="N42" s="31"/>
    </row>
    <row r="45" spans="1:14" x14ac:dyDescent="0.25">
      <c r="A45" s="26" t="s">
        <v>31</v>
      </c>
    </row>
    <row r="47" spans="1:14" x14ac:dyDescent="0.25">
      <c r="F47" s="44" t="s">
        <v>47</v>
      </c>
    </row>
  </sheetData>
  <mergeCells count="22">
    <mergeCell ref="F29:I29"/>
    <mergeCell ref="F30:I30"/>
    <mergeCell ref="F41:I41"/>
    <mergeCell ref="F42:I42"/>
    <mergeCell ref="F22:I22"/>
    <mergeCell ref="F23:I23"/>
    <mergeCell ref="F24:I24"/>
    <mergeCell ref="F25:I25"/>
    <mergeCell ref="F27:I27"/>
    <mergeCell ref="F28:I28"/>
    <mergeCell ref="F21:I21"/>
    <mergeCell ref="F11:J11"/>
    <mergeCell ref="K11:N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</mergeCells>
  <pageMargins left="0.7" right="0.7" top="0.78740157499999996" bottom="0.78740157499999996" header="0.3" footer="0.3"/>
  <pageSetup paperSize="9" orientation="portrait" r:id="rId1"/>
  <headerFooter>
    <oddHeader xml:space="preserve">&amp;R&amp;10&amp;"Arial"Air Bank / interní
&amp;"Arial"&amp;06 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M43"/>
  <sheetViews>
    <sheetView tabSelected="1" topLeftCell="A4" workbookViewId="0">
      <selection activeCell="Q18" sqref="Q18"/>
    </sheetView>
  </sheetViews>
  <sheetFormatPr defaultRowHeight="15" x14ac:dyDescent="0.25"/>
  <cols>
    <col min="1" max="1" width="32.140625" customWidth="1"/>
    <col min="2" max="2" width="10.5703125" customWidth="1"/>
    <col min="3" max="3" width="0.5703125" customWidth="1"/>
    <col min="4" max="4" width="10.42578125" customWidth="1"/>
    <col min="5" max="5" width="12.5703125" customWidth="1"/>
    <col min="6" max="6" width="1.85546875" style="82" customWidth="1"/>
    <col min="7" max="8" width="9.28515625" customWidth="1"/>
    <col min="9" max="9" width="1.5703125" style="67" customWidth="1"/>
    <col min="10" max="10" width="13.85546875" style="40" customWidth="1"/>
    <col min="11" max="11" width="0.42578125" customWidth="1"/>
    <col min="12" max="13" width="13.85546875" customWidth="1"/>
  </cols>
  <sheetData>
    <row r="1" spans="1:13" ht="15.75" thickBot="1" x14ac:dyDescent="0.3">
      <c r="A1" s="1" t="s">
        <v>0</v>
      </c>
      <c r="I1"/>
    </row>
    <row r="2" spans="1:13" x14ac:dyDescent="0.25">
      <c r="I2"/>
    </row>
    <row r="3" spans="1:13" ht="15.75" thickBot="1" x14ac:dyDescent="0.3">
      <c r="A3" s="112" t="s">
        <v>1</v>
      </c>
      <c r="B3" s="112"/>
      <c r="C3" s="6"/>
      <c r="D3" s="1" t="s">
        <v>56</v>
      </c>
      <c r="G3" s="113" t="s">
        <v>24</v>
      </c>
      <c r="H3" s="113"/>
      <c r="I3" s="113"/>
      <c r="J3" s="113"/>
      <c r="K3" s="113"/>
      <c r="L3" s="113"/>
    </row>
    <row r="4" spans="1:13" ht="15.75" thickBot="1" x14ac:dyDescent="0.3">
      <c r="A4" s="113" t="s">
        <v>57</v>
      </c>
      <c r="B4" s="113"/>
      <c r="D4" s="3">
        <v>43215</v>
      </c>
      <c r="G4" s="113" t="s">
        <v>4</v>
      </c>
      <c r="H4" s="113"/>
      <c r="I4" s="113"/>
      <c r="J4" s="113"/>
      <c r="K4" s="113"/>
      <c r="L4" s="113"/>
    </row>
    <row r="5" spans="1:13" ht="15.75" thickBot="1" x14ac:dyDescent="0.3">
      <c r="A5" s="113" t="s">
        <v>2</v>
      </c>
      <c r="B5" s="113"/>
      <c r="C5" s="6"/>
      <c r="D5" s="4">
        <v>0.189</v>
      </c>
      <c r="G5" s="113" t="s">
        <v>5</v>
      </c>
      <c r="H5" s="113"/>
      <c r="I5" s="113"/>
      <c r="J5" s="113"/>
      <c r="K5" s="113"/>
      <c r="L5" s="113"/>
    </row>
    <row r="6" spans="1:13" ht="15.75" thickBot="1" x14ac:dyDescent="0.3">
      <c r="A6" s="113" t="s">
        <v>3</v>
      </c>
      <c r="B6" s="113"/>
      <c r="D6" s="3">
        <v>43223</v>
      </c>
      <c r="G6" s="113" t="s">
        <v>6</v>
      </c>
      <c r="H6" s="113"/>
      <c r="I6" s="113"/>
      <c r="J6" s="113"/>
      <c r="K6" s="113"/>
      <c r="L6" s="113"/>
    </row>
    <row r="7" spans="1:13" x14ac:dyDescent="0.25">
      <c r="I7"/>
    </row>
    <row r="8" spans="1:13" x14ac:dyDescent="0.25">
      <c r="I8"/>
    </row>
    <row r="9" spans="1:13" x14ac:dyDescent="0.25">
      <c r="F9"/>
      <c r="G9" s="114" t="s">
        <v>53</v>
      </c>
      <c r="H9" s="114"/>
      <c r="I9"/>
      <c r="J9" s="114" t="s">
        <v>45</v>
      </c>
      <c r="K9" s="114"/>
      <c r="L9" s="114"/>
      <c r="M9" s="114"/>
    </row>
    <row r="10" spans="1:13" x14ac:dyDescent="0.25">
      <c r="A10" s="65" t="s">
        <v>52</v>
      </c>
      <c r="B10" s="65" t="s">
        <v>7</v>
      </c>
      <c r="C10" s="65" t="s">
        <v>8</v>
      </c>
      <c r="D10" s="65" t="s">
        <v>51</v>
      </c>
      <c r="E10" s="65" t="s">
        <v>10</v>
      </c>
      <c r="F10"/>
      <c r="G10" s="65" t="s">
        <v>54</v>
      </c>
      <c r="H10" s="65" t="s">
        <v>55</v>
      </c>
      <c r="I10"/>
      <c r="J10" s="66" t="s">
        <v>44</v>
      </c>
      <c r="K10" s="65" t="s">
        <v>41</v>
      </c>
      <c r="L10" s="65" t="s">
        <v>37</v>
      </c>
      <c r="M10" s="65" t="s">
        <v>38</v>
      </c>
    </row>
    <row r="11" spans="1:13" x14ac:dyDescent="0.25">
      <c r="A11" s="68" t="s">
        <v>11</v>
      </c>
      <c r="B11" s="69">
        <v>43223</v>
      </c>
      <c r="C11" s="70">
        <v>0.189</v>
      </c>
      <c r="D11" s="71">
        <v>-1000</v>
      </c>
      <c r="E11" s="71">
        <f>D11*(-1)</f>
        <v>1000</v>
      </c>
      <c r="F11"/>
      <c r="G11" s="72"/>
      <c r="H11" s="73"/>
      <c r="I11"/>
      <c r="J11" s="80"/>
      <c r="K11" s="73"/>
      <c r="L11" s="73"/>
      <c r="M11" s="73"/>
    </row>
    <row r="12" spans="1:13" x14ac:dyDescent="0.25">
      <c r="A12" s="74" t="s">
        <v>12</v>
      </c>
      <c r="B12" s="75">
        <v>43224</v>
      </c>
      <c r="C12" s="76">
        <v>0.189</v>
      </c>
      <c r="D12" s="77">
        <v>-500</v>
      </c>
      <c r="E12" s="77">
        <f>D12*(-1)+E11</f>
        <v>1500</v>
      </c>
      <c r="F12"/>
      <c r="G12" s="78"/>
      <c r="H12" s="79"/>
      <c r="I12"/>
      <c r="J12" s="81"/>
      <c r="K12" s="79"/>
      <c r="L12" s="79"/>
      <c r="M12" s="79"/>
    </row>
    <row r="13" spans="1:13" x14ac:dyDescent="0.25">
      <c r="A13" s="68" t="s">
        <v>13</v>
      </c>
      <c r="B13" s="69">
        <v>43225</v>
      </c>
      <c r="C13" s="70">
        <v>0.189</v>
      </c>
      <c r="D13" s="71">
        <v>-1000</v>
      </c>
      <c r="E13" s="71">
        <f t="shared" ref="E13:E17" si="0">D13*(-1)+E12</f>
        <v>2500</v>
      </c>
      <c r="F13"/>
      <c r="G13" s="72"/>
      <c r="H13" s="73"/>
      <c r="I13"/>
      <c r="J13" s="80"/>
      <c r="K13" s="73"/>
      <c r="L13" s="73"/>
      <c r="M13" s="73"/>
    </row>
    <row r="14" spans="1:13" x14ac:dyDescent="0.25">
      <c r="A14" s="74" t="s">
        <v>14</v>
      </c>
      <c r="B14" s="75">
        <v>43226</v>
      </c>
      <c r="C14" s="76">
        <v>0.189</v>
      </c>
      <c r="D14" s="77">
        <v>-1500</v>
      </c>
      <c r="E14" s="77">
        <f t="shared" si="0"/>
        <v>4000</v>
      </c>
      <c r="F14"/>
      <c r="G14" s="78"/>
      <c r="H14" s="79"/>
      <c r="I14"/>
      <c r="J14" s="81"/>
      <c r="K14" s="79"/>
      <c r="L14" s="79"/>
      <c r="M14" s="79"/>
    </row>
    <row r="15" spans="1:13" x14ac:dyDescent="0.25">
      <c r="A15" s="68" t="s">
        <v>50</v>
      </c>
      <c r="B15" s="69">
        <v>43227</v>
      </c>
      <c r="C15" s="70">
        <v>0.189</v>
      </c>
      <c r="D15" s="71">
        <v>-100</v>
      </c>
      <c r="E15" s="71">
        <f t="shared" si="0"/>
        <v>4100</v>
      </c>
      <c r="F15"/>
      <c r="G15" s="72"/>
      <c r="H15" s="73"/>
      <c r="I15"/>
      <c r="J15" s="80"/>
      <c r="K15" s="73"/>
      <c r="L15" s="73"/>
      <c r="M15" s="73"/>
    </row>
    <row r="16" spans="1:13" x14ac:dyDescent="0.25">
      <c r="A16" s="74" t="s">
        <v>22</v>
      </c>
      <c r="B16" s="75">
        <v>1138955</v>
      </c>
      <c r="C16" s="76">
        <v>0.189</v>
      </c>
      <c r="D16" s="77">
        <v>-300</v>
      </c>
      <c r="E16" s="77">
        <f t="shared" si="0"/>
        <v>4400</v>
      </c>
      <c r="F16"/>
      <c r="G16" s="78"/>
      <c r="H16" s="79"/>
      <c r="I16"/>
      <c r="J16" s="81"/>
      <c r="K16" s="79"/>
      <c r="L16" s="79"/>
      <c r="M16" s="79"/>
    </row>
    <row r="17" spans="1:13" x14ac:dyDescent="0.25">
      <c r="A17" s="68" t="s">
        <v>15</v>
      </c>
      <c r="B17" s="69">
        <v>43229</v>
      </c>
      <c r="C17" s="70">
        <v>0.189</v>
      </c>
      <c r="D17" s="71">
        <v>-5600</v>
      </c>
      <c r="E17" s="71">
        <f t="shared" si="0"/>
        <v>10000</v>
      </c>
      <c r="F17"/>
      <c r="G17" s="72"/>
      <c r="H17" s="73"/>
      <c r="I17"/>
      <c r="J17" s="80"/>
      <c r="K17" s="73"/>
      <c r="L17" s="73"/>
      <c r="M17" s="73"/>
    </row>
    <row r="18" spans="1:13" x14ac:dyDescent="0.25">
      <c r="A18" s="74" t="s">
        <v>17</v>
      </c>
      <c r="B18" s="75">
        <v>43252</v>
      </c>
      <c r="C18" s="76"/>
      <c r="D18" s="77"/>
      <c r="E18" s="77">
        <v>10000</v>
      </c>
      <c r="F18"/>
      <c r="G18" s="78">
        <v>25</v>
      </c>
      <c r="H18" s="79"/>
      <c r="I18"/>
      <c r="J18" s="81">
        <v>43254</v>
      </c>
      <c r="K18" s="79"/>
      <c r="L18" s="79">
        <v>25</v>
      </c>
      <c r="M18" s="79"/>
    </row>
    <row r="19" spans="1:13" x14ac:dyDescent="0.25">
      <c r="A19" s="68" t="s">
        <v>16</v>
      </c>
      <c r="B19" s="69">
        <v>43254</v>
      </c>
      <c r="C19" s="70"/>
      <c r="D19" s="71">
        <v>4975</v>
      </c>
      <c r="E19" s="71">
        <v>5025</v>
      </c>
      <c r="F19"/>
      <c r="G19" s="72"/>
      <c r="H19" s="73"/>
      <c r="I19"/>
      <c r="J19" s="80"/>
      <c r="K19" s="73"/>
      <c r="L19" s="73"/>
      <c r="M19" s="73"/>
    </row>
    <row r="20" spans="1:13" x14ac:dyDescent="0.25">
      <c r="A20" s="74" t="s">
        <v>23</v>
      </c>
      <c r="B20" s="75">
        <v>43266</v>
      </c>
      <c r="C20" s="76">
        <v>0.189</v>
      </c>
      <c r="D20" s="77">
        <v>-4975</v>
      </c>
      <c r="E20" s="77">
        <v>10000</v>
      </c>
      <c r="F20"/>
      <c r="G20" s="78"/>
      <c r="H20" s="79"/>
      <c r="I20"/>
      <c r="J20" s="81"/>
      <c r="K20" s="79"/>
      <c r="L20" s="79"/>
      <c r="M20" s="79"/>
    </row>
    <row r="21" spans="1:13" x14ac:dyDescent="0.25">
      <c r="A21" s="53" t="s">
        <v>25</v>
      </c>
      <c r="B21" s="54">
        <v>43282</v>
      </c>
      <c r="C21" s="53"/>
      <c r="D21" s="53"/>
      <c r="E21" s="55">
        <v>10000</v>
      </c>
      <c r="F21"/>
      <c r="G21" s="56"/>
      <c r="H21" s="57"/>
      <c r="I21"/>
      <c r="J21" s="58"/>
      <c r="K21" s="57"/>
      <c r="L21" s="57"/>
      <c r="M21" s="57"/>
    </row>
    <row r="22" spans="1:13" x14ac:dyDescent="0.25">
      <c r="A22" s="74" t="s">
        <v>26</v>
      </c>
      <c r="B22" s="75">
        <v>43282</v>
      </c>
      <c r="C22" s="76">
        <v>0.189</v>
      </c>
      <c r="D22" s="77"/>
      <c r="E22" s="77">
        <v>10000</v>
      </c>
      <c r="F22"/>
      <c r="G22" s="78">
        <v>152</v>
      </c>
      <c r="H22" s="79"/>
      <c r="I22"/>
      <c r="J22" s="81">
        <v>43291</v>
      </c>
      <c r="K22" s="79"/>
      <c r="L22" s="79">
        <v>152</v>
      </c>
      <c r="M22" s="79"/>
    </row>
    <row r="23" spans="1:13" x14ac:dyDescent="0.25">
      <c r="A23" s="68" t="s">
        <v>16</v>
      </c>
      <c r="B23" s="69">
        <v>43291</v>
      </c>
      <c r="C23" s="70"/>
      <c r="D23" s="71">
        <v>848</v>
      </c>
      <c r="E23" s="71">
        <v>9152</v>
      </c>
      <c r="F23"/>
      <c r="G23" s="72"/>
      <c r="H23" s="73"/>
      <c r="I23"/>
      <c r="J23" s="80"/>
      <c r="K23" s="73"/>
      <c r="L23" s="73"/>
      <c r="M23" s="73"/>
    </row>
    <row r="24" spans="1:13" x14ac:dyDescent="0.25">
      <c r="A24" s="74" t="s">
        <v>48</v>
      </c>
      <c r="B24" s="75">
        <v>43313</v>
      </c>
      <c r="C24" s="76"/>
      <c r="D24" s="77"/>
      <c r="E24" s="77"/>
      <c r="F24"/>
      <c r="G24" s="78"/>
      <c r="H24" s="79"/>
      <c r="I24"/>
      <c r="J24" s="81"/>
      <c r="K24" s="79"/>
      <c r="L24" s="79"/>
      <c r="M24" s="79"/>
    </row>
    <row r="25" spans="1:13" x14ac:dyDescent="0.25">
      <c r="A25" s="68" t="s">
        <v>49</v>
      </c>
      <c r="B25" s="69">
        <v>43313</v>
      </c>
      <c r="C25" s="70">
        <v>0.189</v>
      </c>
      <c r="D25" s="71"/>
      <c r="E25" s="71">
        <v>9152</v>
      </c>
      <c r="F25"/>
      <c r="G25" s="72">
        <v>148</v>
      </c>
      <c r="H25" s="73"/>
      <c r="I25"/>
      <c r="J25" s="80">
        <v>43656</v>
      </c>
      <c r="K25" s="73"/>
      <c r="L25" s="73">
        <v>148</v>
      </c>
      <c r="M25" s="73"/>
    </row>
    <row r="26" spans="1:13" x14ac:dyDescent="0.25">
      <c r="A26" s="74" t="s">
        <v>28</v>
      </c>
      <c r="B26" s="75">
        <v>43344</v>
      </c>
      <c r="C26" s="76">
        <v>0.189</v>
      </c>
      <c r="D26" s="77"/>
      <c r="E26" s="77">
        <v>9152</v>
      </c>
      <c r="F26"/>
      <c r="G26" s="78">
        <v>149</v>
      </c>
      <c r="H26" s="79"/>
      <c r="I26"/>
      <c r="J26" s="81">
        <v>43656</v>
      </c>
      <c r="K26" s="79"/>
      <c r="L26" s="79">
        <v>149</v>
      </c>
      <c r="M26" s="79"/>
    </row>
    <row r="27" spans="1:13" x14ac:dyDescent="0.25">
      <c r="A27" s="53" t="s">
        <v>20</v>
      </c>
      <c r="B27" s="54">
        <v>43344</v>
      </c>
      <c r="C27" s="53"/>
      <c r="D27" s="53"/>
      <c r="E27" s="55">
        <f>E26</f>
        <v>9152</v>
      </c>
      <c r="F27"/>
      <c r="G27" s="56">
        <f>SUM(G25:G26)</f>
        <v>297</v>
      </c>
      <c r="H27" s="57"/>
      <c r="I27"/>
      <c r="J27" s="58"/>
      <c r="K27" s="57"/>
      <c r="L27" s="57"/>
      <c r="M27" s="57"/>
    </row>
    <row r="28" spans="1:13" x14ac:dyDescent="0.25">
      <c r="A28" s="74" t="s">
        <v>16</v>
      </c>
      <c r="B28" s="75">
        <v>43344</v>
      </c>
      <c r="C28" s="74"/>
      <c r="D28" s="77">
        <v>5000</v>
      </c>
      <c r="E28" s="77">
        <v>4152</v>
      </c>
      <c r="F28"/>
      <c r="G28" s="78"/>
      <c r="H28" s="79"/>
      <c r="I28"/>
      <c r="J28" s="81"/>
      <c r="K28" s="79"/>
      <c r="L28" s="79"/>
      <c r="M28" s="79"/>
    </row>
    <row r="29" spans="1:13" x14ac:dyDescent="0.25">
      <c r="A29" s="68" t="s">
        <v>32</v>
      </c>
      <c r="B29" s="69">
        <v>43374</v>
      </c>
      <c r="C29" s="68"/>
      <c r="D29" s="71"/>
      <c r="E29" s="71">
        <v>4152</v>
      </c>
      <c r="F29"/>
      <c r="G29" s="72">
        <v>50</v>
      </c>
      <c r="H29" s="73">
        <v>0</v>
      </c>
      <c r="I29"/>
      <c r="J29" s="69">
        <v>43831</v>
      </c>
      <c r="K29" s="71">
        <v>50</v>
      </c>
      <c r="L29" s="73">
        <v>50</v>
      </c>
      <c r="M29" s="73"/>
    </row>
    <row r="30" spans="1:13" x14ac:dyDescent="0.25">
      <c r="A30" s="74" t="s">
        <v>42</v>
      </c>
      <c r="B30" s="75">
        <v>43374</v>
      </c>
      <c r="C30" s="74"/>
      <c r="D30" s="77"/>
      <c r="E30" s="77">
        <v>4152</v>
      </c>
      <c r="F30"/>
      <c r="G30" s="78">
        <v>110</v>
      </c>
      <c r="H30" s="79">
        <v>40</v>
      </c>
      <c r="I30"/>
      <c r="J30" s="75">
        <v>43862</v>
      </c>
      <c r="K30" s="77">
        <v>150</v>
      </c>
      <c r="L30" s="79">
        <v>110</v>
      </c>
      <c r="M30" s="79">
        <v>40</v>
      </c>
    </row>
    <row r="31" spans="1:13" x14ac:dyDescent="0.25">
      <c r="A31" s="68" t="s">
        <v>16</v>
      </c>
      <c r="B31" s="69">
        <v>43358</v>
      </c>
      <c r="C31" s="70">
        <v>0.189</v>
      </c>
      <c r="D31" s="71">
        <v>100</v>
      </c>
      <c r="E31" s="71">
        <v>4052</v>
      </c>
      <c r="F31"/>
      <c r="G31" s="72"/>
      <c r="H31" s="73"/>
      <c r="I31"/>
      <c r="J31" s="69"/>
      <c r="K31" s="71"/>
      <c r="L31" s="73"/>
      <c r="M31" s="73"/>
    </row>
    <row r="32" spans="1:13" x14ac:dyDescent="0.25">
      <c r="A32" s="74" t="s">
        <v>43</v>
      </c>
      <c r="B32" s="75">
        <v>43374</v>
      </c>
      <c r="C32" s="76"/>
      <c r="D32" s="77"/>
      <c r="E32" s="77"/>
      <c r="F32"/>
      <c r="G32" s="78">
        <v>110</v>
      </c>
      <c r="H32" s="79">
        <v>40</v>
      </c>
      <c r="I32"/>
      <c r="J32" s="75">
        <v>43862</v>
      </c>
      <c r="K32" s="77">
        <v>150</v>
      </c>
      <c r="L32" s="79">
        <v>110</v>
      </c>
      <c r="M32" s="79">
        <v>40</v>
      </c>
    </row>
    <row r="33" spans="1:13" x14ac:dyDescent="0.25">
      <c r="A33" s="68" t="s">
        <v>34</v>
      </c>
      <c r="B33" s="69">
        <v>43405</v>
      </c>
      <c r="C33" s="68"/>
      <c r="D33" s="71"/>
      <c r="E33" s="71">
        <v>4052</v>
      </c>
      <c r="F33"/>
      <c r="G33" s="72">
        <v>130</v>
      </c>
      <c r="H33" s="73">
        <v>60</v>
      </c>
      <c r="I33"/>
      <c r="J33" s="69">
        <v>43862</v>
      </c>
      <c r="K33" s="71">
        <v>50</v>
      </c>
      <c r="L33" s="73">
        <v>50</v>
      </c>
      <c r="M33" s="73"/>
    </row>
    <row r="34" spans="1:13" x14ac:dyDescent="0.25">
      <c r="A34" s="74"/>
      <c r="B34" s="75"/>
      <c r="C34" s="74"/>
      <c r="D34" s="77"/>
      <c r="E34" s="77"/>
      <c r="F34"/>
      <c r="G34" s="78"/>
      <c r="H34" s="79"/>
      <c r="I34"/>
      <c r="J34" s="75">
        <v>43863</v>
      </c>
      <c r="K34" s="77">
        <v>140</v>
      </c>
      <c r="L34" s="79">
        <v>80</v>
      </c>
      <c r="M34" s="79">
        <v>60</v>
      </c>
    </row>
    <row r="35" spans="1:13" x14ac:dyDescent="0.25">
      <c r="A35" s="68" t="s">
        <v>40</v>
      </c>
      <c r="B35" s="69">
        <v>43435</v>
      </c>
      <c r="C35" s="68"/>
      <c r="D35" s="71"/>
      <c r="E35" s="71">
        <v>4052</v>
      </c>
      <c r="F35"/>
      <c r="G35" s="72">
        <v>115</v>
      </c>
      <c r="H35" s="73">
        <v>55</v>
      </c>
      <c r="I35"/>
      <c r="J35" s="69">
        <v>43891</v>
      </c>
      <c r="K35" s="71">
        <v>30</v>
      </c>
      <c r="L35" s="73">
        <v>30</v>
      </c>
      <c r="M35" s="73"/>
    </row>
    <row r="36" spans="1:13" x14ac:dyDescent="0.25">
      <c r="A36" s="74"/>
      <c r="B36" s="75"/>
      <c r="C36" s="74"/>
      <c r="D36" s="77"/>
      <c r="E36" s="77"/>
      <c r="F36"/>
      <c r="G36" s="78"/>
      <c r="H36" s="79"/>
      <c r="I36"/>
      <c r="J36" s="75">
        <v>43892</v>
      </c>
      <c r="K36" s="77">
        <v>30</v>
      </c>
      <c r="L36" s="79">
        <v>30</v>
      </c>
      <c r="M36" s="79"/>
    </row>
    <row r="37" spans="1:13" x14ac:dyDescent="0.25">
      <c r="A37" s="68"/>
      <c r="B37" s="69"/>
      <c r="C37" s="68"/>
      <c r="D37" s="71"/>
      <c r="E37" s="71"/>
      <c r="F37"/>
      <c r="G37" s="72"/>
      <c r="H37" s="73"/>
      <c r="I37"/>
      <c r="J37" s="69">
        <v>43922</v>
      </c>
      <c r="K37" s="71">
        <v>110</v>
      </c>
      <c r="L37" s="73">
        <v>55</v>
      </c>
      <c r="M37" s="73">
        <v>55</v>
      </c>
    </row>
    <row r="38" spans="1:13" x14ac:dyDescent="0.25">
      <c r="A38" s="74" t="s">
        <v>16</v>
      </c>
      <c r="B38" s="75">
        <v>43434</v>
      </c>
      <c r="C38" s="74"/>
      <c r="D38" s="77">
        <v>4052</v>
      </c>
      <c r="E38" s="77">
        <v>0</v>
      </c>
      <c r="F38"/>
      <c r="G38" s="78"/>
      <c r="H38" s="79"/>
      <c r="I38"/>
      <c r="J38" s="81"/>
      <c r="K38" s="79"/>
      <c r="L38" s="79"/>
      <c r="M38" s="79"/>
    </row>
    <row r="39" spans="1:13" x14ac:dyDescent="0.25">
      <c r="A39" s="59" t="s">
        <v>29</v>
      </c>
      <c r="B39" s="60">
        <v>43435</v>
      </c>
      <c r="C39" s="59"/>
      <c r="D39" s="59"/>
      <c r="E39" s="61">
        <v>0</v>
      </c>
      <c r="F39"/>
      <c r="G39" s="62"/>
      <c r="H39" s="63"/>
      <c r="I39"/>
      <c r="J39" s="64"/>
      <c r="K39" s="63"/>
      <c r="L39" s="63"/>
      <c r="M39" s="63"/>
    </row>
    <row r="40" spans="1:13" x14ac:dyDescent="0.25">
      <c r="A40" s="46"/>
      <c r="B40" s="47"/>
      <c r="C40" s="46"/>
      <c r="D40" s="48"/>
      <c r="E40" s="48"/>
      <c r="F40"/>
      <c r="G40" s="49"/>
      <c r="H40" s="52"/>
      <c r="I40"/>
      <c r="J40" s="51"/>
      <c r="K40" s="50"/>
      <c r="L40" s="50"/>
      <c r="M40" s="50"/>
    </row>
    <row r="41" spans="1:13" x14ac:dyDescent="0.25">
      <c r="F41"/>
      <c r="I41"/>
    </row>
    <row r="43" spans="1:13" x14ac:dyDescent="0.25">
      <c r="A43" s="65" t="s">
        <v>31</v>
      </c>
      <c r="B43" s="44" t="s">
        <v>47</v>
      </c>
    </row>
  </sheetData>
  <mergeCells count="10">
    <mergeCell ref="G9:H9"/>
    <mergeCell ref="J9:M9"/>
    <mergeCell ref="A3:B3"/>
    <mergeCell ref="A4:B4"/>
    <mergeCell ref="A5:B5"/>
    <mergeCell ref="A6:B6"/>
    <mergeCell ref="G3:L3"/>
    <mergeCell ref="G4:L4"/>
    <mergeCell ref="G5:L5"/>
    <mergeCell ref="G6:L6"/>
  </mergeCells>
  <pageMargins left="0.7" right="0.7" top="0.78740157499999996" bottom="0.78740157499999996" header="0.3" footer="0.3"/>
  <pageSetup paperSize="9" orientation="landscape" r:id="rId1"/>
  <headerFooter>
    <oddHeader xml:space="preserve">&amp;R&amp;10&amp;"Arial"Air Bank / interní
&amp;"Arial"&amp;06 </oddHead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List1</vt:lpstr>
      <vt:lpstr>List2</vt:lpstr>
      <vt:lpstr>List3</vt:lpstr>
      <vt:lpstr>FA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Tomešková Lucie</dc:creator>
  <cp:lastModifiedBy>Antol Filip</cp:lastModifiedBy>
  <cp:lastPrinted>2018-05-22T12:42:11Z</cp:lastPrinted>
  <dcterms:created xsi:type="dcterms:W3CDTF">2018-04-20T08:23:34Z</dcterms:created>
  <dcterms:modified xsi:type="dcterms:W3CDTF">2018-06-04T13:36:45Z</dcterms:modified>
  <cp:category>Air Bank / interní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rbank-DocumentTagging.ClassificationMark.P00">
    <vt:lpwstr>&lt;ClassificationMark xmlns:xsi="http://www.w3.org/2001/XMLSchema-instance" xmlns:xsd="http://www.w3.org/2001/XMLSchema" margin="NaN" class="C1" owner="Tomešková Lucie" position="TopRight" marginX="1.3" marginY="0.6" classifiedOn="2018-05-18T15:18:10.2</vt:lpwstr>
  </property>
  <property fmtid="{D5CDD505-2E9C-101B-9397-08002B2CF9AE}" pid="3" name="airbank-DocumentTagging.ClassificationMark.P01">
    <vt:lpwstr>218546+02:00" showPrintedBy="false" showPrintDate="false" language="cs" ApplicationVersion="Microsoft Excel, 14.0" addinVersion="5.7.7.0" template="Air Bank"&gt;&lt;history bulk="false" class="Air Bank / interní" code="C1" user="Tomešková Lucie" date="2018</vt:lpwstr>
  </property>
  <property fmtid="{D5CDD505-2E9C-101B-9397-08002B2CF9AE}" pid="4" name="airbank-DocumentTagging.ClassificationMark.P02">
    <vt:lpwstr>-05-18T15:18:10.2258546+02:00" /&gt;&lt;recipients /&gt;&lt;documentOwners /&gt;&lt;/ClassificationMark&gt;</vt:lpwstr>
  </property>
  <property fmtid="{D5CDD505-2E9C-101B-9397-08002B2CF9AE}" pid="5" name="airbank-DocumentTagging.ClassificationMark">
    <vt:lpwstr>￼PARTS:3</vt:lpwstr>
  </property>
  <property fmtid="{D5CDD505-2E9C-101B-9397-08002B2CF9AE}" pid="6" name="airbank-DocumentClasification">
    <vt:lpwstr>Air Bank / interní</vt:lpwstr>
  </property>
  <property fmtid="{D5CDD505-2E9C-101B-9397-08002B2CF9AE}" pid="7" name="airbank-DLP">
    <vt:lpwstr>airbank-DLP:DLP_AB INTERNI</vt:lpwstr>
  </property>
</Properties>
</file>