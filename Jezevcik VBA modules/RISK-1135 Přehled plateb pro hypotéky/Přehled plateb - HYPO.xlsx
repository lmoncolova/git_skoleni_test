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240" yWindow="285" windowWidth="14805" windowHeight="7830"/>
  </bookViews>
  <sheets>
    <sheet name="List1" sheetId="1" r:id="rId1"/>
    <sheet name="List2" sheetId="2" r:id="rId2"/>
    <sheet name="List3" sheetId="3" r:id="rId3"/>
  </sheets>
  <calcPr calcId="152511"/>
</workbook>
</file>

<file path=xl/calcChain.xml><?xml version="1.0" encoding="utf-8"?>
<calcChain xmlns="http://schemas.openxmlformats.org/spreadsheetml/2006/main">
  <c r="I42" i="1" l="1"/>
  <c r="H42" i="1"/>
  <c r="T42" i="1"/>
  <c r="G44" i="1" l="1"/>
  <c r="E44" i="1" s="1"/>
</calcChain>
</file>

<file path=xl/comments1.xml><?xml version="1.0" encoding="utf-8"?>
<comments xmlns="http://schemas.openxmlformats.org/spreadsheetml/2006/main">
  <authors>
    <author>Author</author>
  </authors>
  <commentList>
    <comment ref="I1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Doplnit sloupec se sazbou SÚ</t>
        </r>
      </text>
    </comment>
    <comment ref="E44" authorId="0" shapeId="0">
      <text>
        <r>
          <rPr>
            <b/>
            <sz val="9"/>
            <color indexed="81"/>
            <rFont val="Tahoma"/>
            <family val="2"/>
            <charset val="238"/>
          </rPr>
          <t>Author:</t>
        </r>
        <r>
          <rPr>
            <sz val="9"/>
            <color indexed="81"/>
            <rFont val="Tahoma"/>
            <family val="2"/>
            <charset val="238"/>
          </rPr>
          <t xml:space="preserve">
celková dlužná částka ke dni zesplatnění</t>
        </r>
      </text>
    </comment>
    <comment ref="F44" authorId="0" shapeId="0">
      <text>
        <r>
          <rPr>
            <b/>
            <sz val="9"/>
            <color indexed="81"/>
            <rFont val="Tahoma"/>
            <family val="2"/>
            <charset val="238"/>
          </rPr>
          <t>Author:</t>
        </r>
        <r>
          <rPr>
            <sz val="9"/>
            <color indexed="81"/>
            <rFont val="Tahoma"/>
            <family val="2"/>
            <charset val="238"/>
          </rPr>
          <t xml:space="preserve">
nesplacená jistina</t>
        </r>
      </text>
    </comment>
    <comment ref="G44" authorId="0" shapeId="0">
      <text>
        <r>
          <rPr>
            <b/>
            <sz val="9"/>
            <color indexed="81"/>
            <rFont val="Tahoma"/>
            <family val="2"/>
            <charset val="238"/>
          </rPr>
          <t>Author:</t>
        </r>
        <r>
          <rPr>
            <sz val="9"/>
            <color indexed="81"/>
            <rFont val="Tahoma"/>
            <family val="2"/>
            <charset val="238"/>
          </rPr>
          <t xml:space="preserve">
nesplacený kapitalizovaný úrok</t>
        </r>
      </text>
    </comment>
    <comment ref="G58" authorId="0" shapeId="0">
      <text>
        <r>
          <rPr>
            <b/>
            <sz val="9"/>
            <color indexed="81"/>
            <rFont val="Tahoma"/>
            <charset val="1"/>
          </rPr>
          <t>Štefl Michael:</t>
        </r>
        <r>
          <rPr>
            <sz val="9"/>
            <color indexed="81"/>
            <rFont val="Tahoma"/>
            <family val="2"/>
            <charset val="238"/>
          </rPr>
          <t>Hodnota smluvního úroku za celý měsíc</t>
        </r>
      </text>
    </comment>
    <comment ref="H58" authorId="0" shapeId="0">
      <text>
        <r>
          <rPr>
            <b/>
            <sz val="9"/>
            <color indexed="81"/>
            <rFont val="Tahoma"/>
            <family val="2"/>
            <charset val="238"/>
          </rPr>
          <t>Author:</t>
        </r>
        <r>
          <rPr>
            <sz val="9"/>
            <color indexed="81"/>
            <rFont val="Tahoma"/>
            <family val="2"/>
            <charset val="238"/>
          </rPr>
          <t xml:space="preserve">
Hodnota sankčního úroku za celý měsíc</t>
        </r>
      </text>
    </comment>
    <comment ref="G60" authorId="0" shapeId="0">
      <text>
        <r>
          <rPr>
            <b/>
            <sz val="9"/>
            <color indexed="81"/>
            <rFont val="Tahoma"/>
            <family val="2"/>
            <charset val="238"/>
          </rPr>
          <t>Author:</t>
        </r>
        <r>
          <rPr>
            <sz val="9"/>
            <color indexed="81"/>
            <rFont val="Tahoma"/>
            <family val="2"/>
            <charset val="238"/>
          </rPr>
          <t xml:space="preserve">
suma smluvních úroků za aktuální měsíc až do dne vygenerování přehledu</t>
        </r>
      </text>
    </comment>
    <comment ref="H60" authorId="0" shapeId="0">
      <text>
        <r>
          <rPr>
            <b/>
            <sz val="9"/>
            <color indexed="81"/>
            <rFont val="Tahoma"/>
            <family val="2"/>
            <charset val="238"/>
          </rPr>
          <t>Author:</t>
        </r>
        <r>
          <rPr>
            <sz val="9"/>
            <color indexed="81"/>
            <rFont val="Tahoma"/>
            <family val="2"/>
            <charset val="238"/>
          </rPr>
          <t xml:space="preserve">
suma sankčních úroků za aktuální měsíc až do dne vygenerování přehledu</t>
        </r>
      </text>
    </comment>
    <comment ref="E62" authorId="0" shapeId="0">
      <text>
        <r>
          <rPr>
            <b/>
            <sz val="9"/>
            <color indexed="81"/>
            <rFont val="Tahoma"/>
            <family val="2"/>
            <charset val="238"/>
          </rPr>
          <t>Author:</t>
        </r>
        <r>
          <rPr>
            <sz val="9"/>
            <color indexed="81"/>
            <rFont val="Tahoma"/>
            <family val="2"/>
            <charset val="238"/>
          </rPr>
          <t xml:space="preserve">
Suma neplacené jistiny, nesplacených smluvních úroků a nesplacených sankčních úroků</t>
        </r>
      </text>
    </comment>
    <comment ref="G62" authorId="0" shapeId="0">
      <text>
        <r>
          <rPr>
            <b/>
            <sz val="9"/>
            <color indexed="81"/>
            <rFont val="Tahoma"/>
            <family val="2"/>
            <charset val="238"/>
          </rPr>
          <t>Author:</t>
        </r>
        <r>
          <rPr>
            <sz val="9"/>
            <color indexed="81"/>
            <rFont val="Tahoma"/>
            <family val="2"/>
            <charset val="238"/>
          </rPr>
          <t xml:space="preserve">
suma všech nesplacených smluvních úroků (kapitalizovaný úrok + nesplacené předpisy měsíčních smluvních úroků do dnešního dne)</t>
        </r>
      </text>
    </comment>
    <comment ref="H62" authorId="0" shapeId="0">
      <text>
        <r>
          <rPr>
            <b/>
            <sz val="9"/>
            <color indexed="81"/>
            <rFont val="Tahoma"/>
            <family val="2"/>
            <charset val="238"/>
          </rPr>
          <t>Author:</t>
        </r>
        <r>
          <rPr>
            <sz val="9"/>
            <color indexed="81"/>
            <rFont val="Tahoma"/>
            <family val="2"/>
            <charset val="238"/>
          </rPr>
          <t xml:space="preserve">
suma všech sankčních úroků</t>
        </r>
      </text>
    </comment>
  </commentList>
</comments>
</file>

<file path=xl/sharedStrings.xml><?xml version="1.0" encoding="utf-8"?>
<sst xmlns="http://schemas.openxmlformats.org/spreadsheetml/2006/main" count="128" uniqueCount="57">
  <si>
    <t>Přehled plateb</t>
  </si>
  <si>
    <r>
      <t>Klient:</t>
    </r>
    <r>
      <rPr>
        <sz val="11"/>
        <color theme="1"/>
        <rFont val="Arial"/>
        <family val="2"/>
        <charset val="238"/>
      </rPr>
      <t xml:space="preserve">  Novotná Magda</t>
    </r>
  </si>
  <si>
    <r>
      <t>RPSN:</t>
    </r>
    <r>
      <rPr>
        <sz val="11"/>
        <color theme="1"/>
        <rFont val="Arial"/>
        <family val="2"/>
        <charset val="238"/>
      </rPr>
      <t xml:space="preserve">  0,00 % p. a.</t>
    </r>
  </si>
  <si>
    <r>
      <t>Číslo hypotéky:</t>
    </r>
    <r>
      <rPr>
        <sz val="11"/>
        <color theme="1"/>
        <rFont val="Arial"/>
        <family val="2"/>
        <charset val="238"/>
      </rPr>
      <t xml:space="preserve">  HR00002185</t>
    </r>
  </si>
  <si>
    <r>
      <t>Načerpaná jistina:</t>
    </r>
    <r>
      <rPr>
        <sz val="11"/>
        <rFont val="Arial"/>
        <family val="2"/>
        <charset val="238"/>
      </rPr>
      <t xml:space="preserve">  1 400 000,00 CZK</t>
    </r>
  </si>
  <si>
    <t>Příchozí platby</t>
  </si>
  <si>
    <t>Jistina</t>
  </si>
  <si>
    <t>Datum platby</t>
  </si>
  <si>
    <r>
      <t>Typ úrokové sazby:</t>
    </r>
    <r>
      <rPr>
        <sz val="11"/>
        <color theme="1"/>
        <rFont val="Arial"/>
        <family val="2"/>
        <charset val="238"/>
      </rPr>
      <t xml:space="preserve"> Fixní</t>
    </r>
  </si>
  <si>
    <t>Předepsané platby</t>
  </si>
  <si>
    <t>Smluvní úrok</t>
  </si>
  <si>
    <t>Sankční úrok</t>
  </si>
  <si>
    <t>Splátka / platba</t>
  </si>
  <si>
    <t>20.8.2016</t>
  </si>
  <si>
    <t>20.9.2016</t>
  </si>
  <si>
    <t>20.10.2016</t>
  </si>
  <si>
    <t>20.11.2016</t>
  </si>
  <si>
    <t>20.12.2016</t>
  </si>
  <si>
    <t>20.1.2017</t>
  </si>
  <si>
    <t>20.2.2017</t>
  </si>
  <si>
    <t>20.3.2017</t>
  </si>
  <si>
    <t>20.4.2017</t>
  </si>
  <si>
    <t>20.5.2017</t>
  </si>
  <si>
    <t>typ platby</t>
  </si>
  <si>
    <t>čerpání</t>
  </si>
  <si>
    <t>splátka</t>
  </si>
  <si>
    <t>Datum</t>
  </si>
  <si>
    <t>Úroková sazba</t>
  </si>
  <si>
    <t>1,89 %</t>
  </si>
  <si>
    <t>.</t>
  </si>
  <si>
    <t>8.3.2018</t>
  </si>
  <si>
    <t>Pohyb OTB</t>
  </si>
  <si>
    <t>Zůstatek ke dni zesplatnění, který se skládá z:</t>
  </si>
  <si>
    <t>Platby po zesplatnění</t>
  </si>
  <si>
    <t>20.6.2017</t>
  </si>
  <si>
    <t>20.7.2017</t>
  </si>
  <si>
    <t>20.8.2017</t>
  </si>
  <si>
    <t>20.9.2017</t>
  </si>
  <si>
    <t>20.10.2017</t>
  </si>
  <si>
    <t>20.11.2017</t>
  </si>
  <si>
    <t>20.12.2017</t>
  </si>
  <si>
    <t>20.1.2018</t>
  </si>
  <si>
    <t>20.2.2018</t>
  </si>
  <si>
    <t>xxx</t>
  </si>
  <si>
    <t>???</t>
  </si>
  <si>
    <t>Aktuální zůstatek k dnešnímu dni, který se skládá z:</t>
  </si>
  <si>
    <t>Aktuální nesplacená  jistina</t>
  </si>
  <si>
    <t>Jistina se zohledněním rezervy pro výpočet smluvního úroku</t>
  </si>
  <si>
    <r>
      <t>Celková dlužná částka ke dni zesplatnění:</t>
    </r>
    <r>
      <rPr>
        <sz val="11"/>
        <rFont val="Arial"/>
        <family val="2"/>
        <charset val="238"/>
      </rPr>
      <t xml:space="preserve">  1 329 617,15 CZK</t>
    </r>
  </si>
  <si>
    <r>
      <t>Celková dlužná částka ke dni 17.5.2018:</t>
    </r>
    <r>
      <rPr>
        <sz val="11"/>
        <color theme="1"/>
        <rFont val="Arial"/>
        <family val="2"/>
        <charset val="238"/>
      </rPr>
      <t xml:space="preserve">  1 329 617,15 CZK</t>
    </r>
  </si>
  <si>
    <r>
      <t xml:space="preserve">Roční úroková sazba ke dni zesplatnění: </t>
    </r>
    <r>
      <rPr>
        <sz val="11"/>
        <color theme="1"/>
        <rFont val="Arial"/>
        <family val="2"/>
        <charset val="238"/>
      </rPr>
      <t>1,89 %</t>
    </r>
  </si>
  <si>
    <r>
      <t>Datum zesplatnění hypotéky:</t>
    </r>
    <r>
      <rPr>
        <sz val="11"/>
        <color theme="1"/>
        <rFont val="Arial"/>
        <family val="2"/>
        <charset val="238"/>
      </rPr>
      <t xml:space="preserve">  22.6.2016</t>
    </r>
  </si>
  <si>
    <r>
      <t xml:space="preserve">Datum vyhotovení přehledu plateb : </t>
    </r>
    <r>
      <rPr>
        <sz val="11"/>
        <rFont val="Arial"/>
        <family val="2"/>
        <charset val="238"/>
      </rPr>
      <t>17.5.2018</t>
    </r>
  </si>
  <si>
    <t>Sazba SÚ</t>
  </si>
  <si>
    <t>platba do OTB</t>
  </si>
  <si>
    <t>výběr z  OTB</t>
  </si>
  <si>
    <t>Intervaly úrokových sazeb (stejně jako u KTK)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</si>
</sst>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4"/>
      <name val="Arial"/>
      <family val="2"/>
      <charset val="238"/>
    </font>
    <font>
      <b/>
      <sz val="11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b/>
      <sz val="11"/>
      <name val="Arial"/>
      <family val="2"/>
      <charset val="238"/>
    </font>
    <font>
      <sz val="11"/>
      <name val="Arial"/>
      <family val="2"/>
      <charset val="238"/>
    </font>
    <font>
      <b/>
      <sz val="11"/>
      <color theme="0"/>
      <name val="Arial"/>
      <family val="2"/>
      <charset val="238"/>
    </font>
    <font>
      <sz val="11"/>
      <color rgb="FFFFFFFF"/>
      <name val="Calibri"/>
      <family val="2"/>
      <charset val="238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9"/>
      <color indexed="81"/>
      <name val="Tahoma"/>
      <family val="2"/>
      <charset val="238"/>
    </font>
    <font>
      <sz val="9"/>
      <color indexed="81"/>
      <name val="Tahoma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1" tint="0.34998626667073579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theme="6"/>
      </top>
      <bottom style="thin">
        <color theme="6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/>
      <top style="thin">
        <color theme="6"/>
      </top>
      <bottom/>
      <diagonal/>
    </border>
    <border>
      <left style="medium">
        <color indexed="9"/>
      </left>
      <right/>
      <top style="medium">
        <color indexed="9"/>
      </top>
      <bottom style="medium">
        <color indexed="9"/>
      </bottom>
      <diagonal/>
    </border>
    <border>
      <left/>
      <right/>
      <top style="medium">
        <color indexed="9"/>
      </top>
      <bottom style="medium">
        <color indexed="9"/>
      </bottom>
      <diagonal/>
    </border>
    <border>
      <left/>
      <right style="medium">
        <color indexed="9"/>
      </right>
      <top style="medium">
        <color indexed="9"/>
      </top>
      <bottom style="medium">
        <color indexed="9"/>
      </bottom>
      <diagonal/>
    </border>
    <border>
      <left/>
      <right/>
      <top style="medium">
        <color indexed="9"/>
      </top>
      <bottom/>
      <diagonal/>
    </border>
    <border>
      <left style="medium">
        <color indexed="9"/>
      </left>
      <right/>
      <top style="medium">
        <color indexed="9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Border="1" applyAlignment="1">
      <alignment horizontal="left"/>
    </xf>
    <xf numFmtId="0" fontId="2" fillId="2" borderId="0" xfId="0" applyFont="1" applyFill="1" applyBorder="1" applyAlignment="1"/>
    <xf numFmtId="0" fontId="2" fillId="2" borderId="1" xfId="0" applyFont="1" applyFill="1" applyBorder="1" applyAlignment="1"/>
    <xf numFmtId="0" fontId="4" fillId="0" borderId="0" xfId="0" applyFont="1" applyBorder="1"/>
    <xf numFmtId="0" fontId="4" fillId="0" borderId="1" xfId="0" applyFont="1" applyBorder="1"/>
    <xf numFmtId="4" fontId="2" fillId="2" borderId="1" xfId="0" applyNumberFormat="1" applyFont="1" applyFill="1" applyBorder="1" applyAlignment="1"/>
    <xf numFmtId="4" fontId="4" fillId="0" borderId="1" xfId="0" applyNumberFormat="1" applyFont="1" applyBorder="1"/>
    <xf numFmtId="4" fontId="0" fillId="4" borderId="5" xfId="0" applyNumberFormat="1" applyFont="1" applyFill="1" applyBorder="1" applyAlignment="1">
      <alignment vertical="center"/>
    </xf>
    <xf numFmtId="0" fontId="2" fillId="2" borderId="8" xfId="0" applyFont="1" applyFill="1" applyBorder="1" applyAlignment="1"/>
    <xf numFmtId="0" fontId="0" fillId="4" borderId="5" xfId="0" applyFont="1" applyFill="1" applyBorder="1" applyAlignment="1">
      <alignment horizontal="right" vertical="center"/>
    </xf>
    <xf numFmtId="4" fontId="0" fillId="4" borderId="5" xfId="0" applyNumberFormat="1" applyFont="1" applyFill="1" applyBorder="1" applyAlignment="1">
      <alignment horizontal="right" vertical="center"/>
    </xf>
    <xf numFmtId="0" fontId="0" fillId="4" borderId="5" xfId="0" applyFont="1" applyFill="1" applyBorder="1" applyAlignment="1">
      <alignment horizontal="center" vertical="center"/>
    </xf>
    <xf numFmtId="14" fontId="0" fillId="4" borderId="5" xfId="0" applyNumberFormat="1" applyFont="1" applyFill="1" applyBorder="1" applyAlignment="1">
      <alignment horizontal="right" vertical="center"/>
    </xf>
    <xf numFmtId="49" fontId="0" fillId="4" borderId="5" xfId="0" applyNumberFormat="1" applyFont="1" applyFill="1" applyBorder="1" applyAlignment="1">
      <alignment horizontal="right" vertical="center"/>
    </xf>
    <xf numFmtId="0" fontId="0" fillId="0" borderId="0" xfId="0" applyAlignment="1"/>
    <xf numFmtId="0" fontId="7" fillId="5" borderId="5" xfId="0" applyFont="1" applyFill="1" applyBorder="1" applyAlignment="1">
      <alignment horizontal="right" vertical="center"/>
    </xf>
    <xf numFmtId="4" fontId="7" fillId="5" borderId="5" xfId="0" applyNumberFormat="1" applyFont="1" applyFill="1" applyBorder="1" applyAlignment="1">
      <alignment horizontal="right" vertical="center"/>
    </xf>
    <xf numFmtId="14" fontId="7" fillId="5" borderId="5" xfId="0" applyNumberFormat="1" applyFont="1" applyFill="1" applyBorder="1" applyAlignment="1">
      <alignment horizontal="right" vertical="center"/>
    </xf>
    <xf numFmtId="0" fontId="0" fillId="0" borderId="0" xfId="0" applyAlignment="1">
      <alignment horizontal="center"/>
    </xf>
    <xf numFmtId="4" fontId="0" fillId="4" borderId="0" xfId="0" applyNumberFormat="1" applyFont="1" applyFill="1" applyBorder="1" applyAlignment="1">
      <alignment vertical="center"/>
    </xf>
    <xf numFmtId="0" fontId="7" fillId="5" borderId="0" xfId="0" applyFont="1" applyFill="1" applyBorder="1" applyAlignment="1">
      <alignment horizontal="center" vertical="center"/>
    </xf>
    <xf numFmtId="0" fontId="7" fillId="5" borderId="0" xfId="0" applyFont="1" applyFill="1" applyBorder="1" applyAlignment="1">
      <alignment horizontal="right" vertical="center"/>
    </xf>
    <xf numFmtId="0" fontId="0" fillId="0" borderId="0" xfId="0" applyBorder="1" applyAlignment="1">
      <alignment horizontal="center"/>
    </xf>
    <xf numFmtId="4" fontId="4" fillId="0" borderId="8" xfId="0" applyNumberFormat="1" applyFont="1" applyBorder="1"/>
    <xf numFmtId="4" fontId="2" fillId="2" borderId="0" xfId="0" applyNumberFormat="1" applyFont="1" applyFill="1" applyBorder="1" applyAlignment="1"/>
    <xf numFmtId="10" fontId="0" fillId="4" borderId="5" xfId="0" applyNumberFormat="1" applyFont="1" applyFill="1" applyBorder="1" applyAlignment="1">
      <alignment horizontal="right" vertical="center"/>
    </xf>
    <xf numFmtId="0" fontId="7" fillId="5" borderId="9" xfId="0" applyFont="1" applyFill="1" applyBorder="1" applyAlignment="1">
      <alignment horizontal="right" vertical="center"/>
    </xf>
    <xf numFmtId="14" fontId="0" fillId="4" borderId="9" xfId="0" applyNumberFormat="1" applyFont="1" applyFill="1" applyBorder="1" applyAlignment="1">
      <alignment horizontal="right" vertical="center"/>
    </xf>
    <xf numFmtId="0" fontId="0" fillId="4" borderId="10" xfId="0" applyFont="1" applyFill="1" applyBorder="1" applyAlignment="1">
      <alignment horizontal="right" vertical="center"/>
    </xf>
    <xf numFmtId="4" fontId="0" fillId="4" borderId="11" xfId="0" applyNumberFormat="1" applyFont="1" applyFill="1" applyBorder="1" applyAlignment="1">
      <alignment horizontal="right" vertical="center"/>
    </xf>
    <xf numFmtId="49" fontId="0" fillId="4" borderId="11" xfId="0" applyNumberFormat="1" applyFont="1" applyFill="1" applyBorder="1" applyAlignment="1">
      <alignment horizontal="right" vertical="center"/>
    </xf>
    <xf numFmtId="0" fontId="0" fillId="4" borderId="5" xfId="0" applyNumberFormat="1" applyFont="1" applyFill="1" applyBorder="1" applyAlignment="1">
      <alignment horizontal="right" vertical="center"/>
    </xf>
    <xf numFmtId="0" fontId="7" fillId="5" borderId="9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2" borderId="0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2:U64"/>
  <sheetViews>
    <sheetView showGridLines="0" tabSelected="1" topLeftCell="A10" workbookViewId="0">
      <selection activeCell="K47" sqref="K47"/>
    </sheetView>
  </sheetViews>
  <sheetFormatPr defaultRowHeight="15" x14ac:dyDescent="0.25"/>
  <cols>
    <col min="3" max="3" width="13.5703125" customWidth="1"/>
    <col min="4" max="4" width="14.28515625" customWidth="1"/>
    <col min="5" max="5" width="12.42578125" customWidth="1"/>
    <col min="6" max="6" width="11.85546875" customWidth="1"/>
    <col min="8" max="8" width="11.42578125" bestFit="1" customWidth="1"/>
    <col min="10" max="10" width="3.7109375" customWidth="1"/>
    <col min="11" max="11" width="12.140625" customWidth="1"/>
    <col min="12" max="12" width="10" customWidth="1"/>
    <col min="14" max="14" width="9.42578125" customWidth="1"/>
    <col min="15" max="15" width="9.5703125" customWidth="1"/>
    <col min="16" max="16" width="3.7109375" customWidth="1"/>
    <col min="17" max="17" width="13.28515625" bestFit="1" customWidth="1"/>
    <col min="18" max="18" width="33" customWidth="1"/>
    <col min="19" max="19" width="20.140625" bestFit="1" customWidth="1"/>
    <col min="20" max="20" width="15.85546875" customWidth="1"/>
    <col min="24" max="24" width="13.28515625" bestFit="1" customWidth="1"/>
    <col min="25" max="25" width="20.140625" bestFit="1" customWidth="1"/>
  </cols>
  <sheetData>
    <row r="2" spans="2:21" ht="18" x14ac:dyDescent="0.25">
      <c r="C2" s="1" t="s">
        <v>0</v>
      </c>
      <c r="D2" s="1"/>
    </row>
    <row r="4" spans="2:21" x14ac:dyDescent="0.25">
      <c r="C4" s="2" t="s">
        <v>1</v>
      </c>
      <c r="D4" s="2"/>
      <c r="K4" s="4" t="s">
        <v>4</v>
      </c>
    </row>
    <row r="5" spans="2:21" x14ac:dyDescent="0.25">
      <c r="C5" s="3" t="s">
        <v>3</v>
      </c>
      <c r="D5" s="2"/>
      <c r="K5" s="5" t="s">
        <v>48</v>
      </c>
    </row>
    <row r="6" spans="2:21" x14ac:dyDescent="0.25">
      <c r="C6" s="3" t="s">
        <v>50</v>
      </c>
      <c r="D6" s="2"/>
      <c r="K6" s="6" t="s">
        <v>49</v>
      </c>
    </row>
    <row r="7" spans="2:21" x14ac:dyDescent="0.25">
      <c r="C7" s="2" t="s">
        <v>8</v>
      </c>
      <c r="D7" s="2"/>
      <c r="K7" s="7" t="s">
        <v>52</v>
      </c>
    </row>
    <row r="8" spans="2:21" x14ac:dyDescent="0.25">
      <c r="C8" s="3" t="s">
        <v>2</v>
      </c>
      <c r="D8" s="2"/>
      <c r="K8" s="9" t="s">
        <v>51</v>
      </c>
    </row>
    <row r="9" spans="2:21" x14ac:dyDescent="0.25">
      <c r="D9" s="2"/>
      <c r="K9" s="24"/>
    </row>
    <row r="10" spans="2:21" x14ac:dyDescent="0.25">
      <c r="C10" s="2"/>
      <c r="D10" s="2"/>
      <c r="K10" s="25"/>
      <c r="T10" s="15"/>
      <c r="U10" s="15"/>
    </row>
    <row r="11" spans="2:21" x14ac:dyDescent="0.25">
      <c r="B11" s="38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39"/>
      <c r="T11" s="39"/>
      <c r="U11" s="39"/>
    </row>
    <row r="12" spans="2:21" x14ac:dyDescent="0.25">
      <c r="B12" s="38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39"/>
      <c r="T12" s="39"/>
      <c r="U12" s="39"/>
    </row>
    <row r="13" spans="2:21" x14ac:dyDescent="0.25">
      <c r="B13" s="38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39"/>
      <c r="T13" s="39"/>
      <c r="U13" s="39"/>
    </row>
    <row r="14" spans="2:21" ht="15.75" thickBot="1" x14ac:dyDescent="0.3">
      <c r="B14" s="38"/>
      <c r="C14" s="2"/>
      <c r="D14" s="2"/>
      <c r="E14" s="2"/>
      <c r="F14" s="2"/>
      <c r="G14" s="2"/>
      <c r="H14" s="2"/>
      <c r="I14" s="2"/>
      <c r="J14" s="39"/>
      <c r="K14" s="2"/>
      <c r="L14" s="2"/>
      <c r="M14" s="2"/>
      <c r="N14" s="2"/>
      <c r="O14" s="2"/>
      <c r="P14" s="2"/>
      <c r="Q14" s="2"/>
      <c r="R14" s="2"/>
      <c r="S14" s="39"/>
      <c r="T14" s="39"/>
      <c r="U14" s="39"/>
    </row>
    <row r="15" spans="2:21" ht="15.75" thickBot="1" x14ac:dyDescent="0.3">
      <c r="B15" s="38"/>
      <c r="C15" s="40" t="s">
        <v>9</v>
      </c>
      <c r="D15" s="40"/>
      <c r="E15" s="40"/>
      <c r="F15" s="40"/>
      <c r="G15" s="40"/>
      <c r="H15" s="8"/>
      <c r="I15" s="20"/>
      <c r="J15" s="39"/>
      <c r="K15" s="41" t="s">
        <v>5</v>
      </c>
      <c r="L15" s="42"/>
      <c r="M15" s="42"/>
      <c r="N15" s="42"/>
      <c r="O15" s="8"/>
      <c r="P15" s="38"/>
      <c r="Q15" s="8"/>
      <c r="R15" s="8"/>
      <c r="S15" s="8"/>
      <c r="T15" s="8"/>
      <c r="U15" s="38"/>
    </row>
    <row r="16" spans="2:21" ht="15" customHeight="1" x14ac:dyDescent="0.25">
      <c r="B16" s="38"/>
      <c r="C16" s="36" t="s">
        <v>26</v>
      </c>
      <c r="D16" s="36" t="s">
        <v>27</v>
      </c>
      <c r="E16" s="36" t="s">
        <v>12</v>
      </c>
      <c r="F16" s="36" t="s">
        <v>6</v>
      </c>
      <c r="G16" s="36" t="s">
        <v>10</v>
      </c>
      <c r="H16" s="36" t="s">
        <v>11</v>
      </c>
      <c r="I16" s="36" t="s">
        <v>53</v>
      </c>
      <c r="J16" s="39"/>
      <c r="K16" s="36" t="s">
        <v>7</v>
      </c>
      <c r="L16" s="36" t="s">
        <v>12</v>
      </c>
      <c r="M16" s="36" t="s">
        <v>6</v>
      </c>
      <c r="N16" s="36" t="s">
        <v>10</v>
      </c>
      <c r="O16" s="36" t="s">
        <v>11</v>
      </c>
      <c r="P16" s="38"/>
      <c r="Q16" s="36" t="s">
        <v>23</v>
      </c>
      <c r="R16" s="36" t="s">
        <v>47</v>
      </c>
      <c r="S16" s="36" t="s">
        <v>46</v>
      </c>
      <c r="T16" s="36" t="s">
        <v>31</v>
      </c>
      <c r="U16" s="38"/>
    </row>
    <row r="17" spans="2:21" ht="15.75" customHeight="1" thickBot="1" x14ac:dyDescent="0.3">
      <c r="B17" s="38"/>
      <c r="C17" s="37"/>
      <c r="D17" s="37"/>
      <c r="E17" s="37"/>
      <c r="F17" s="37"/>
      <c r="G17" s="37"/>
      <c r="H17" s="37"/>
      <c r="I17" s="37"/>
      <c r="J17" s="39"/>
      <c r="K17" s="37"/>
      <c r="L17" s="37"/>
      <c r="M17" s="37"/>
      <c r="N17" s="37"/>
      <c r="O17" s="37"/>
      <c r="P17" s="38"/>
      <c r="Q17" s="37"/>
      <c r="R17" s="37"/>
      <c r="S17" s="37"/>
      <c r="T17" s="37"/>
      <c r="U17" s="38"/>
    </row>
    <row r="18" spans="2:21" ht="15.75" thickBot="1" x14ac:dyDescent="0.3">
      <c r="B18" s="38"/>
      <c r="C18" s="13">
        <v>42931</v>
      </c>
      <c r="D18" s="10"/>
      <c r="E18" s="10"/>
      <c r="F18" s="10"/>
      <c r="G18" s="10"/>
      <c r="H18" s="10"/>
      <c r="I18" s="10"/>
      <c r="J18" s="39"/>
      <c r="K18" s="10"/>
      <c r="L18" s="10"/>
      <c r="M18" s="10"/>
      <c r="N18" s="10"/>
      <c r="O18" s="10"/>
      <c r="P18" s="38"/>
      <c r="Q18" s="12" t="s">
        <v>24</v>
      </c>
      <c r="R18" s="8">
        <v>1400000</v>
      </c>
      <c r="S18" s="8">
        <v>1400000</v>
      </c>
      <c r="T18" s="8"/>
      <c r="U18" s="38"/>
    </row>
    <row r="19" spans="2:21" ht="15.75" thickBot="1" x14ac:dyDescent="0.3">
      <c r="B19" s="38"/>
      <c r="C19" s="13">
        <v>42571</v>
      </c>
      <c r="D19" s="14" t="s">
        <v>28</v>
      </c>
      <c r="E19" s="8">
        <v>8939</v>
      </c>
      <c r="F19" s="8">
        <v>6909.19</v>
      </c>
      <c r="G19" s="8">
        <v>2029.81</v>
      </c>
      <c r="H19" s="8"/>
      <c r="I19" s="10"/>
      <c r="J19" s="39"/>
      <c r="K19" s="13">
        <v>42571</v>
      </c>
      <c r="L19" s="8">
        <v>8939</v>
      </c>
      <c r="M19" s="8">
        <v>6909.19</v>
      </c>
      <c r="N19" s="8">
        <v>2029.81</v>
      </c>
      <c r="O19" s="10"/>
      <c r="P19" s="38"/>
      <c r="Q19" s="12" t="s">
        <v>25</v>
      </c>
      <c r="R19" s="11">
        <v>1393090.81</v>
      </c>
      <c r="S19" s="11">
        <v>1393090.81</v>
      </c>
      <c r="T19" s="8"/>
      <c r="U19" s="38"/>
    </row>
    <row r="20" spans="2:21" ht="15.75" thickBot="1" x14ac:dyDescent="0.3">
      <c r="B20" s="38"/>
      <c r="C20" s="13"/>
      <c r="D20" s="14"/>
      <c r="E20" s="8"/>
      <c r="F20" s="8"/>
      <c r="G20" s="8"/>
      <c r="H20" s="8"/>
      <c r="I20" s="10"/>
      <c r="J20" s="39"/>
      <c r="K20" s="13">
        <v>42583</v>
      </c>
      <c r="L20" s="8"/>
      <c r="M20" s="8"/>
      <c r="N20" s="8"/>
      <c r="O20" s="10"/>
      <c r="P20" s="38"/>
      <c r="Q20" s="12" t="s">
        <v>54</v>
      </c>
      <c r="R20" s="11">
        <v>927129.81</v>
      </c>
      <c r="S20" s="11"/>
      <c r="T20" s="8">
        <v>465961</v>
      </c>
      <c r="U20" s="38"/>
    </row>
    <row r="21" spans="2:21" ht="15.75" thickBot="1" x14ac:dyDescent="0.3">
      <c r="B21" s="38"/>
      <c r="C21" s="10" t="s">
        <v>13</v>
      </c>
      <c r="D21" s="14" t="s">
        <v>28</v>
      </c>
      <c r="E21" s="8">
        <v>8939</v>
      </c>
      <c r="F21" s="8">
        <v>7161.24</v>
      </c>
      <c r="G21" s="8">
        <v>1777.76</v>
      </c>
      <c r="H21" s="10"/>
      <c r="I21" s="10"/>
      <c r="J21" s="39"/>
      <c r="K21" s="10" t="s">
        <v>13</v>
      </c>
      <c r="L21" s="8">
        <v>8939</v>
      </c>
      <c r="M21" s="8">
        <v>7161.24</v>
      </c>
      <c r="N21" s="8">
        <v>1777.76</v>
      </c>
      <c r="O21" s="10"/>
      <c r="P21" s="38"/>
      <c r="Q21" s="12" t="s">
        <v>25</v>
      </c>
      <c r="R21" s="11">
        <v>928907.15</v>
      </c>
      <c r="S21" s="8">
        <v>1385929.57</v>
      </c>
      <c r="T21" s="8">
        <v>-8938.58</v>
      </c>
      <c r="U21" s="38"/>
    </row>
    <row r="22" spans="2:21" ht="15.75" thickBot="1" x14ac:dyDescent="0.3">
      <c r="B22" s="38"/>
      <c r="C22" s="13"/>
      <c r="D22" s="14"/>
      <c r="E22" s="8"/>
      <c r="F22" s="8"/>
      <c r="G22" s="8"/>
      <c r="H22" s="10"/>
      <c r="I22" s="10"/>
      <c r="J22" s="39"/>
      <c r="K22" s="13">
        <v>42607</v>
      </c>
      <c r="L22" s="8"/>
      <c r="M22" s="8"/>
      <c r="N22" s="8"/>
      <c r="O22" s="10"/>
      <c r="P22" s="38"/>
      <c r="Q22" s="12" t="s">
        <v>55</v>
      </c>
      <c r="R22" s="11">
        <v>1128907.1499999999</v>
      </c>
      <c r="S22" s="11"/>
      <c r="T22" s="8">
        <v>-200000</v>
      </c>
      <c r="U22" s="38"/>
    </row>
    <row r="23" spans="2:21" ht="15.75" thickBot="1" x14ac:dyDescent="0.3">
      <c r="B23" s="38"/>
      <c r="C23" s="10" t="s">
        <v>14</v>
      </c>
      <c r="D23" s="14" t="s">
        <v>28</v>
      </c>
      <c r="E23" s="8">
        <v>8939</v>
      </c>
      <c r="F23" s="8">
        <v>7178.6500000000005</v>
      </c>
      <c r="G23" s="8">
        <v>1760.3500000000001</v>
      </c>
      <c r="H23" s="10"/>
      <c r="I23" s="10"/>
      <c r="J23" s="39"/>
      <c r="K23" s="10" t="s">
        <v>14</v>
      </c>
      <c r="L23" s="8">
        <v>8939</v>
      </c>
      <c r="M23" s="8">
        <v>7178.6500000000005</v>
      </c>
      <c r="N23" s="8">
        <v>1760.3500000000001</v>
      </c>
      <c r="O23" s="10"/>
      <c r="P23" s="38"/>
      <c r="Q23" s="12" t="s">
        <v>25</v>
      </c>
      <c r="R23" s="8">
        <v>1130641.2</v>
      </c>
      <c r="S23" s="8">
        <v>1378750.92</v>
      </c>
      <c r="T23" s="8">
        <v>-8912.7000000000007</v>
      </c>
      <c r="U23" s="38"/>
    </row>
    <row r="24" spans="2:21" ht="15.75" thickBot="1" x14ac:dyDescent="0.3">
      <c r="B24" s="38"/>
      <c r="C24" s="10" t="s">
        <v>15</v>
      </c>
      <c r="D24" s="14" t="s">
        <v>28</v>
      </c>
      <c r="E24" s="8">
        <v>8939</v>
      </c>
      <c r="F24" s="8">
        <v>7182.63</v>
      </c>
      <c r="G24" s="8">
        <v>1756.3700000000001</v>
      </c>
      <c r="H24" s="10"/>
      <c r="I24" s="10"/>
      <c r="J24" s="39"/>
      <c r="K24" s="10" t="s">
        <v>15</v>
      </c>
      <c r="L24" s="8">
        <v>8939</v>
      </c>
      <c r="M24" s="8">
        <v>7182.63</v>
      </c>
      <c r="N24" s="8">
        <v>1756.3700000000001</v>
      </c>
      <c r="O24" s="10"/>
      <c r="P24" s="38"/>
      <c r="Q24" s="12" t="s">
        <v>25</v>
      </c>
      <c r="R24" s="11">
        <v>1132363.3700000001</v>
      </c>
      <c r="S24" s="8">
        <v>1371568.29</v>
      </c>
      <c r="T24" s="8">
        <v>-8904.7999999999993</v>
      </c>
      <c r="U24" s="38"/>
    </row>
    <row r="25" spans="2:21" ht="15.75" thickBot="1" x14ac:dyDescent="0.3">
      <c r="B25" s="38"/>
      <c r="C25" s="10" t="s">
        <v>16</v>
      </c>
      <c r="D25" s="14" t="s">
        <v>28</v>
      </c>
      <c r="E25" s="8">
        <v>8939</v>
      </c>
      <c r="F25" s="8">
        <v>7121.32</v>
      </c>
      <c r="G25" s="8">
        <v>1817.68</v>
      </c>
      <c r="H25" s="10"/>
      <c r="I25" s="10"/>
      <c r="J25" s="39"/>
      <c r="K25" s="10" t="s">
        <v>16</v>
      </c>
      <c r="L25" s="8">
        <v>8939</v>
      </c>
      <c r="M25" s="8">
        <v>7121.32</v>
      </c>
      <c r="N25" s="8">
        <v>1817.68</v>
      </c>
      <c r="O25" s="10"/>
      <c r="P25" s="38"/>
      <c r="Q25" s="12" t="s">
        <v>25</v>
      </c>
      <c r="R25" s="11">
        <v>1125242.05</v>
      </c>
      <c r="S25" s="8">
        <v>1364446.97</v>
      </c>
      <c r="T25" s="8"/>
      <c r="U25" s="38"/>
    </row>
    <row r="26" spans="2:21" ht="15.75" thickBot="1" x14ac:dyDescent="0.3">
      <c r="B26" s="38"/>
      <c r="C26" s="10"/>
      <c r="D26" s="14"/>
      <c r="E26" s="8"/>
      <c r="F26" s="8"/>
      <c r="G26" s="8"/>
      <c r="H26" s="10"/>
      <c r="I26" s="10"/>
      <c r="J26" s="39"/>
      <c r="K26" s="13">
        <v>42715</v>
      </c>
      <c r="L26" s="8"/>
      <c r="M26" s="8"/>
      <c r="N26" s="8"/>
      <c r="O26" s="10"/>
      <c r="P26" s="38"/>
      <c r="Q26" s="12" t="s">
        <v>55</v>
      </c>
      <c r="R26" s="11">
        <v>1346242.05</v>
      </c>
      <c r="S26" s="11"/>
      <c r="T26" s="8">
        <v>-221000</v>
      </c>
      <c r="U26" s="38"/>
    </row>
    <row r="27" spans="2:21" ht="15.75" thickBot="1" x14ac:dyDescent="0.3">
      <c r="B27" s="38"/>
      <c r="C27" s="10" t="s">
        <v>17</v>
      </c>
      <c r="D27" s="14" t="s">
        <v>28</v>
      </c>
      <c r="E27" s="8">
        <v>8939</v>
      </c>
      <c r="F27" s="8">
        <v>7088.02</v>
      </c>
      <c r="G27" s="8">
        <v>1850.98</v>
      </c>
      <c r="H27" s="10"/>
      <c r="I27" s="10"/>
      <c r="J27" s="39"/>
      <c r="K27" s="10" t="s">
        <v>17</v>
      </c>
      <c r="L27" s="8">
        <v>8939</v>
      </c>
      <c r="M27" s="8">
        <v>7088.02</v>
      </c>
      <c r="N27" s="8">
        <v>1850.98</v>
      </c>
      <c r="O27" s="10"/>
      <c r="P27" s="38"/>
      <c r="Q27" s="12" t="s">
        <v>25</v>
      </c>
      <c r="R27" s="11">
        <v>1339154.03</v>
      </c>
      <c r="S27" s="8">
        <v>1357358.95</v>
      </c>
      <c r="T27" s="8"/>
      <c r="U27" s="38"/>
    </row>
    <row r="28" spans="2:21" ht="15.75" thickBot="1" x14ac:dyDescent="0.3">
      <c r="B28" s="38"/>
      <c r="C28" s="10" t="s">
        <v>18</v>
      </c>
      <c r="D28" s="14" t="s">
        <v>28</v>
      </c>
      <c r="E28" s="8">
        <v>8939</v>
      </c>
      <c r="F28" s="8">
        <v>6789.38</v>
      </c>
      <c r="G28" s="8">
        <v>2149.62</v>
      </c>
      <c r="H28" s="10"/>
      <c r="I28" s="10"/>
      <c r="J28" s="39"/>
      <c r="K28" s="10" t="s">
        <v>18</v>
      </c>
      <c r="L28" s="8">
        <v>8939</v>
      </c>
      <c r="M28" s="8">
        <v>6789.38</v>
      </c>
      <c r="N28" s="8">
        <v>2149.62</v>
      </c>
      <c r="O28" s="10"/>
      <c r="P28" s="38"/>
      <c r="Q28" s="12" t="s">
        <v>25</v>
      </c>
      <c r="R28" s="11">
        <v>1332364.6499999999</v>
      </c>
      <c r="S28" s="8">
        <v>1350569.57</v>
      </c>
      <c r="T28" s="8"/>
      <c r="U28" s="38"/>
    </row>
    <row r="29" spans="2:21" ht="15.75" thickBot="1" x14ac:dyDescent="0.3">
      <c r="B29" s="38"/>
      <c r="C29" s="10" t="s">
        <v>19</v>
      </c>
      <c r="D29" s="14" t="s">
        <v>28</v>
      </c>
      <c r="E29" s="8">
        <v>8939</v>
      </c>
      <c r="F29" s="8">
        <v>6800.28</v>
      </c>
      <c r="G29" s="8">
        <v>2138.7200000000003</v>
      </c>
      <c r="H29" s="10"/>
      <c r="I29" s="10"/>
      <c r="J29" s="39"/>
      <c r="K29" s="10" t="s">
        <v>19</v>
      </c>
      <c r="L29" s="8">
        <v>8939</v>
      </c>
      <c r="M29" s="8">
        <v>6800.28</v>
      </c>
      <c r="N29" s="8">
        <v>2138.7200000000003</v>
      </c>
      <c r="O29" s="10"/>
      <c r="P29" s="38"/>
      <c r="Q29" s="12" t="s">
        <v>25</v>
      </c>
      <c r="R29" s="11">
        <v>1325564.3700000001</v>
      </c>
      <c r="S29" s="8">
        <v>1343769.29</v>
      </c>
      <c r="T29" s="8"/>
      <c r="U29" s="38"/>
    </row>
    <row r="30" spans="2:21" ht="15.75" thickBot="1" x14ac:dyDescent="0.3">
      <c r="B30" s="38"/>
      <c r="C30" s="10" t="s">
        <v>20</v>
      </c>
      <c r="D30" s="14" t="s">
        <v>28</v>
      </c>
      <c r="E30" s="8">
        <v>8939</v>
      </c>
      <c r="F30" s="8">
        <v>7017.1100000000006</v>
      </c>
      <c r="G30" s="8">
        <v>1921.89</v>
      </c>
      <c r="H30" s="10"/>
      <c r="I30" s="10"/>
      <c r="J30" s="39"/>
      <c r="K30" s="10" t="s">
        <v>20</v>
      </c>
      <c r="L30" s="8">
        <v>8939</v>
      </c>
      <c r="M30" s="8">
        <v>7017.1100000000006</v>
      </c>
      <c r="N30" s="8">
        <v>1921.89</v>
      </c>
      <c r="O30" s="10"/>
      <c r="P30" s="38"/>
      <c r="Q30" s="12" t="s">
        <v>25</v>
      </c>
      <c r="R30" s="11">
        <v>1327486.26</v>
      </c>
      <c r="S30" s="8">
        <v>1336752.18</v>
      </c>
      <c r="T30" s="8">
        <v>-8939</v>
      </c>
      <c r="U30" s="38"/>
    </row>
    <row r="31" spans="2:21" ht="15.75" thickBot="1" x14ac:dyDescent="0.3">
      <c r="B31" s="38"/>
      <c r="C31" s="10" t="s">
        <v>21</v>
      </c>
      <c r="D31" s="14" t="s">
        <v>28</v>
      </c>
      <c r="E31" s="8">
        <v>8939</v>
      </c>
      <c r="F31" s="8">
        <v>6808.1100000000006</v>
      </c>
      <c r="G31" s="8">
        <v>2130.89</v>
      </c>
      <c r="H31" s="10"/>
      <c r="I31" s="10"/>
      <c r="J31" s="39"/>
      <c r="K31" s="10" t="s">
        <v>21</v>
      </c>
      <c r="L31" s="8">
        <v>8939</v>
      </c>
      <c r="M31" s="8">
        <v>6808.1100000000006</v>
      </c>
      <c r="N31" s="8">
        <v>2130.89</v>
      </c>
      <c r="O31" s="10"/>
      <c r="P31" s="38"/>
      <c r="Q31" s="12" t="s">
        <v>25</v>
      </c>
      <c r="R31" s="11">
        <v>1329617.1499999999</v>
      </c>
      <c r="S31" s="8">
        <v>1329944.07</v>
      </c>
      <c r="T31" s="8">
        <v>-8939</v>
      </c>
      <c r="U31" s="38"/>
    </row>
    <row r="32" spans="2:21" ht="15.75" thickBot="1" x14ac:dyDescent="0.3">
      <c r="B32" s="38"/>
      <c r="C32" s="10" t="s">
        <v>22</v>
      </c>
      <c r="D32" s="14" t="s">
        <v>28</v>
      </c>
      <c r="E32" s="8">
        <v>8939</v>
      </c>
      <c r="F32" s="8">
        <v>6873.54</v>
      </c>
      <c r="G32" s="8">
        <v>2065.46</v>
      </c>
      <c r="H32" s="10"/>
      <c r="I32" s="10"/>
      <c r="J32" s="39"/>
      <c r="K32" s="10" t="s">
        <v>22</v>
      </c>
      <c r="L32" s="8">
        <v>326.92</v>
      </c>
      <c r="M32" s="8">
        <v>326.92</v>
      </c>
      <c r="N32" s="8">
        <v>0</v>
      </c>
      <c r="O32" s="10"/>
      <c r="P32" s="38"/>
      <c r="Q32" s="12" t="s">
        <v>25</v>
      </c>
      <c r="R32" s="11">
        <v>1323070.53</v>
      </c>
      <c r="S32" s="8">
        <v>1329617.1499999999</v>
      </c>
      <c r="T32" s="8">
        <v>-326.92</v>
      </c>
      <c r="U32" s="38"/>
    </row>
    <row r="33" spans="1:21" ht="15.75" thickBot="1" x14ac:dyDescent="0.3">
      <c r="B33" s="38"/>
      <c r="C33" s="13">
        <v>42906</v>
      </c>
      <c r="D33" s="14" t="s">
        <v>28</v>
      </c>
      <c r="E33" s="8">
        <v>8939</v>
      </c>
      <c r="F33" s="8">
        <v>6815.2</v>
      </c>
      <c r="G33" s="8">
        <v>2123.8000000000002</v>
      </c>
      <c r="H33" s="10"/>
      <c r="I33" s="10"/>
      <c r="J33" s="39"/>
      <c r="K33" s="10"/>
      <c r="L33" s="10"/>
      <c r="M33" s="10"/>
      <c r="N33" s="10"/>
      <c r="O33" s="10"/>
      <c r="P33" s="38"/>
      <c r="Q33" s="10"/>
      <c r="R33" s="10"/>
      <c r="S33" s="10"/>
      <c r="T33" s="10"/>
      <c r="U33" s="38"/>
    </row>
    <row r="34" spans="1:21" ht="15.75" thickBot="1" x14ac:dyDescent="0.3">
      <c r="B34" s="38"/>
      <c r="C34" s="13">
        <v>42936</v>
      </c>
      <c r="D34" s="14" t="s">
        <v>28</v>
      </c>
      <c r="E34" s="8">
        <v>8939</v>
      </c>
      <c r="F34" s="8">
        <v>6894.3</v>
      </c>
      <c r="G34" s="8">
        <v>2044.7</v>
      </c>
      <c r="H34" s="10"/>
      <c r="I34" s="10"/>
      <c r="J34" s="39"/>
      <c r="K34" s="10"/>
      <c r="L34" s="10"/>
      <c r="M34" s="10"/>
      <c r="N34" s="10"/>
      <c r="O34" s="10"/>
      <c r="P34" s="38"/>
      <c r="Q34" s="10"/>
      <c r="R34" s="10"/>
      <c r="S34" s="10"/>
      <c r="T34" s="10"/>
      <c r="U34" s="38"/>
    </row>
    <row r="35" spans="1:21" ht="15.75" thickBot="1" x14ac:dyDescent="0.3">
      <c r="B35" s="38"/>
      <c r="C35" s="13">
        <v>42967</v>
      </c>
      <c r="D35" s="14" t="s">
        <v>28</v>
      </c>
      <c r="E35" s="8">
        <v>8939</v>
      </c>
      <c r="F35" s="8">
        <v>6837.21</v>
      </c>
      <c r="G35" s="8">
        <v>2101.79</v>
      </c>
      <c r="H35" s="10"/>
      <c r="I35" s="10"/>
      <c r="J35" s="39"/>
      <c r="K35" s="10"/>
      <c r="L35" s="10"/>
      <c r="M35" s="10"/>
      <c r="N35" s="10"/>
      <c r="O35" s="10"/>
      <c r="P35" s="38"/>
      <c r="Q35" s="10"/>
      <c r="R35" s="10"/>
      <c r="S35" s="10"/>
      <c r="T35" s="10"/>
      <c r="U35" s="38"/>
    </row>
    <row r="36" spans="1:21" ht="15.75" thickBot="1" x14ac:dyDescent="0.3">
      <c r="B36" s="38"/>
      <c r="C36" s="13">
        <v>42998</v>
      </c>
      <c r="D36" s="14" t="s">
        <v>28</v>
      </c>
      <c r="E36" s="8">
        <v>8939</v>
      </c>
      <c r="F36" s="8">
        <v>6848.18</v>
      </c>
      <c r="G36" s="8">
        <v>2090.8200000000002</v>
      </c>
      <c r="H36" s="10"/>
      <c r="I36" s="10"/>
      <c r="J36" s="39"/>
      <c r="K36" s="10"/>
      <c r="L36" s="10"/>
      <c r="M36" s="10"/>
      <c r="N36" s="10"/>
      <c r="O36" s="10"/>
      <c r="P36" s="38"/>
      <c r="Q36" s="10"/>
      <c r="R36" s="10"/>
      <c r="S36" s="10"/>
      <c r="T36" s="10"/>
      <c r="U36" s="38"/>
    </row>
    <row r="37" spans="1:21" ht="15.75" thickBot="1" x14ac:dyDescent="0.3">
      <c r="B37" s="38"/>
      <c r="C37" s="13">
        <v>43028</v>
      </c>
      <c r="D37" s="14" t="s">
        <v>28</v>
      </c>
      <c r="E37" s="8">
        <v>8939</v>
      </c>
      <c r="F37" s="8">
        <v>6926.27</v>
      </c>
      <c r="G37" s="8">
        <v>2012.73</v>
      </c>
      <c r="H37" s="10"/>
      <c r="I37" s="10"/>
      <c r="J37" s="39"/>
      <c r="K37" s="10"/>
      <c r="L37" s="10"/>
      <c r="M37" s="10"/>
      <c r="N37" s="10"/>
      <c r="O37" s="10"/>
      <c r="P37" s="38"/>
      <c r="Q37" s="10"/>
      <c r="R37" s="10"/>
      <c r="S37" s="10"/>
      <c r="T37" s="10"/>
      <c r="U37" s="38"/>
    </row>
    <row r="38" spans="1:21" ht="15.75" thickBot="1" x14ac:dyDescent="0.3">
      <c r="B38" s="38"/>
      <c r="C38" s="13">
        <v>43059</v>
      </c>
      <c r="D38" s="14" t="s">
        <v>28</v>
      </c>
      <c r="E38" s="8">
        <v>8939</v>
      </c>
      <c r="F38" s="8">
        <v>6870.29</v>
      </c>
      <c r="G38" s="8">
        <v>2068.71</v>
      </c>
      <c r="H38" s="10"/>
      <c r="I38" s="10"/>
      <c r="J38" s="39"/>
      <c r="K38" s="10"/>
      <c r="L38" s="10"/>
      <c r="M38" s="10"/>
      <c r="N38" s="10"/>
      <c r="O38" s="10"/>
      <c r="P38" s="38"/>
      <c r="Q38" s="10"/>
      <c r="R38" s="10"/>
      <c r="S38" s="10"/>
      <c r="T38" s="10"/>
      <c r="U38" s="38"/>
    </row>
    <row r="39" spans="1:21" ht="15.75" thickBot="1" x14ac:dyDescent="0.3">
      <c r="A39" t="s">
        <v>29</v>
      </c>
      <c r="B39" s="38"/>
      <c r="C39" s="13">
        <v>43089</v>
      </c>
      <c r="D39" s="14" t="s">
        <v>28</v>
      </c>
      <c r="E39" s="8">
        <v>8939</v>
      </c>
      <c r="F39" s="8">
        <v>6947.7</v>
      </c>
      <c r="G39" s="8">
        <v>1991.3</v>
      </c>
      <c r="H39" s="10"/>
      <c r="I39" s="10"/>
      <c r="J39" s="39"/>
      <c r="K39" s="10"/>
      <c r="L39" s="10"/>
      <c r="M39" s="10"/>
      <c r="N39" s="10"/>
      <c r="O39" s="10"/>
      <c r="P39" s="38"/>
      <c r="Q39" s="10"/>
      <c r="R39" s="10"/>
      <c r="S39" s="10"/>
      <c r="T39" s="10"/>
      <c r="U39" s="38"/>
    </row>
    <row r="40" spans="1:21" ht="15.75" thickBot="1" x14ac:dyDescent="0.3">
      <c r="B40" s="38"/>
      <c r="C40" s="13">
        <v>43120</v>
      </c>
      <c r="D40" s="14" t="s">
        <v>28</v>
      </c>
      <c r="E40" s="8">
        <v>8939</v>
      </c>
      <c r="F40" s="8">
        <v>6892.47</v>
      </c>
      <c r="G40" s="8">
        <v>2046.53</v>
      </c>
      <c r="H40" s="10"/>
      <c r="I40" s="10"/>
      <c r="J40" s="39"/>
      <c r="K40" s="10"/>
      <c r="L40" s="10"/>
      <c r="M40" s="10"/>
      <c r="N40" s="10"/>
      <c r="O40" s="10"/>
      <c r="P40" s="38"/>
      <c r="Q40" s="10"/>
      <c r="R40" s="10"/>
      <c r="S40" s="10"/>
      <c r="T40" s="10"/>
      <c r="U40" s="38"/>
    </row>
    <row r="41" spans="1:21" ht="15.75" thickBot="1" x14ac:dyDescent="0.3">
      <c r="B41" s="38"/>
      <c r="C41" s="13">
        <v>43151</v>
      </c>
      <c r="D41" s="14" t="s">
        <v>28</v>
      </c>
      <c r="E41" s="8">
        <v>8939</v>
      </c>
      <c r="F41" s="8">
        <v>6903.54</v>
      </c>
      <c r="G41" s="8">
        <v>2035.46</v>
      </c>
      <c r="H41" s="10"/>
      <c r="I41" s="10"/>
      <c r="J41" s="39"/>
      <c r="K41" s="10"/>
      <c r="L41" s="10"/>
      <c r="M41" s="10"/>
      <c r="N41" s="10"/>
      <c r="O41" s="10"/>
      <c r="P41" s="38"/>
      <c r="Q41" s="10"/>
      <c r="R41" s="10"/>
      <c r="S41" s="10"/>
      <c r="T41" s="10"/>
      <c r="U41" s="38"/>
    </row>
    <row r="42" spans="1:21" ht="15.75" thickBot="1" x14ac:dyDescent="0.3">
      <c r="B42" s="38"/>
      <c r="C42" s="13">
        <v>43167</v>
      </c>
      <c r="D42" s="14" t="s">
        <v>28</v>
      </c>
      <c r="E42" s="8">
        <v>1262180.21</v>
      </c>
      <c r="F42" s="8">
        <v>1261135.3700000001</v>
      </c>
      <c r="G42" s="8">
        <v>1044.8399999999999</v>
      </c>
      <c r="H42" s="11">
        <f>SUM(F32:F42) - M32</f>
        <v>1329617.1500000001</v>
      </c>
      <c r="I42" s="11">
        <f>SUM(G32:G42) - N32</f>
        <v>21626.139999999996</v>
      </c>
      <c r="J42" s="39"/>
      <c r="K42" s="10"/>
      <c r="L42" s="10"/>
      <c r="M42" s="10"/>
      <c r="N42" s="10"/>
      <c r="O42" s="10"/>
      <c r="P42" s="38"/>
      <c r="Q42" s="10"/>
      <c r="R42" s="10"/>
      <c r="S42" s="10"/>
      <c r="T42" s="11">
        <f>SUM(T18:T41)</f>
        <v>-1.63140612130519E-11</v>
      </c>
      <c r="U42" s="38"/>
    </row>
    <row r="43" spans="1:21" ht="15.75" thickBot="1" x14ac:dyDescent="0.3">
      <c r="B43" s="38"/>
      <c r="C43" s="43" t="s">
        <v>32</v>
      </c>
      <c r="D43" s="44"/>
      <c r="E43" s="44"/>
      <c r="F43" s="44"/>
      <c r="G43" s="44"/>
      <c r="H43" s="44"/>
      <c r="I43" s="44"/>
      <c r="J43" s="39"/>
      <c r="K43" s="33" t="s">
        <v>33</v>
      </c>
      <c r="L43" s="34"/>
      <c r="M43" s="34"/>
      <c r="N43" s="34"/>
      <c r="O43" s="35"/>
      <c r="P43" s="38"/>
      <c r="Q43" s="33"/>
      <c r="R43" s="35"/>
      <c r="S43" s="33"/>
      <c r="T43" s="35"/>
      <c r="U43" s="38"/>
    </row>
    <row r="44" spans="1:21" ht="15.75" thickBot="1" x14ac:dyDescent="0.3">
      <c r="B44" s="38"/>
      <c r="C44" s="16" t="s">
        <v>30</v>
      </c>
      <c r="D44" s="16"/>
      <c r="E44" s="17">
        <f>F44+G44</f>
        <v>1351243.2899999998</v>
      </c>
      <c r="F44" s="17">
        <v>1329617.1499999999</v>
      </c>
      <c r="G44" s="17">
        <f>SUM(G32:G42)</f>
        <v>21626.139999999996</v>
      </c>
      <c r="H44" s="16"/>
      <c r="I44" s="16"/>
      <c r="J44" s="39"/>
      <c r="K44" s="16"/>
      <c r="L44" s="16"/>
      <c r="M44" s="16"/>
      <c r="N44" s="16"/>
      <c r="O44" s="16"/>
      <c r="P44" s="38"/>
      <c r="Q44" s="16"/>
      <c r="R44" s="16"/>
      <c r="S44" s="16"/>
      <c r="T44" s="16"/>
      <c r="U44" s="38"/>
    </row>
    <row r="45" spans="1:21" ht="15.75" thickBot="1" x14ac:dyDescent="0.3">
      <c r="B45" s="38"/>
      <c r="C45" s="10" t="s">
        <v>22</v>
      </c>
      <c r="D45" s="14" t="s">
        <v>28</v>
      </c>
      <c r="E45" s="8">
        <v>8612.08</v>
      </c>
      <c r="F45" s="8">
        <v>6546.62</v>
      </c>
      <c r="G45" s="8">
        <v>2065.46</v>
      </c>
      <c r="H45" s="10"/>
      <c r="I45" s="10"/>
      <c r="J45" s="39"/>
      <c r="K45" s="13">
        <v>43209</v>
      </c>
      <c r="L45" s="8">
        <v>200</v>
      </c>
      <c r="M45" s="8">
        <v>200</v>
      </c>
      <c r="N45" s="8">
        <v>0</v>
      </c>
      <c r="O45" s="8"/>
      <c r="P45" s="38"/>
      <c r="Q45" s="8"/>
      <c r="R45" s="8"/>
      <c r="S45" s="13"/>
      <c r="T45" s="14"/>
      <c r="U45" s="38"/>
    </row>
    <row r="46" spans="1:21" ht="15.75" thickBot="1" x14ac:dyDescent="0.3">
      <c r="B46" s="38"/>
      <c r="C46" s="10"/>
      <c r="D46" s="14"/>
      <c r="E46" s="8"/>
      <c r="F46" s="8"/>
      <c r="G46" s="8"/>
      <c r="H46" s="10"/>
      <c r="I46" s="10"/>
      <c r="J46" s="39"/>
      <c r="K46" s="13">
        <v>43213</v>
      </c>
      <c r="L46" s="8">
        <v>8412.08</v>
      </c>
      <c r="M46" s="8">
        <v>6346.62</v>
      </c>
      <c r="N46" s="8">
        <v>2065.46</v>
      </c>
      <c r="O46" s="8"/>
      <c r="P46" s="38"/>
      <c r="Q46" s="8"/>
      <c r="R46" s="8"/>
      <c r="S46" s="13"/>
      <c r="T46" s="14"/>
      <c r="U46" s="38"/>
    </row>
    <row r="47" spans="1:21" ht="15.75" thickBot="1" x14ac:dyDescent="0.3">
      <c r="B47" s="38"/>
      <c r="C47" s="10" t="s">
        <v>34</v>
      </c>
      <c r="D47" s="14" t="s">
        <v>28</v>
      </c>
      <c r="E47" s="8">
        <v>8939</v>
      </c>
      <c r="F47" s="8">
        <v>6815.2</v>
      </c>
      <c r="G47" s="8">
        <v>2123.8000000000002</v>
      </c>
      <c r="H47" s="10"/>
      <c r="I47" s="10"/>
      <c r="J47" s="39"/>
      <c r="K47" s="13">
        <v>43213</v>
      </c>
      <c r="L47" s="32">
        <v>587.91999999999996</v>
      </c>
      <c r="M47" s="32">
        <v>587.91999999999996</v>
      </c>
      <c r="N47" s="8">
        <v>0</v>
      </c>
      <c r="O47" s="8"/>
      <c r="P47" s="38"/>
      <c r="Q47" s="8"/>
      <c r="R47" s="8"/>
      <c r="S47" s="13"/>
      <c r="T47" s="14"/>
      <c r="U47" s="38"/>
    </row>
    <row r="48" spans="1:21" ht="15.75" thickBot="1" x14ac:dyDescent="0.3">
      <c r="B48" s="38"/>
      <c r="C48" s="10" t="s">
        <v>35</v>
      </c>
      <c r="D48" s="14" t="s">
        <v>28</v>
      </c>
      <c r="E48" s="8">
        <v>8939</v>
      </c>
      <c r="F48" s="8">
        <v>6894.3</v>
      </c>
      <c r="G48" s="8">
        <v>2044.7</v>
      </c>
      <c r="H48" s="10"/>
      <c r="I48" s="10"/>
      <c r="J48" s="39"/>
      <c r="K48" s="13"/>
      <c r="L48" s="14"/>
      <c r="M48" s="8"/>
      <c r="N48" s="8"/>
      <c r="O48" s="8"/>
      <c r="P48" s="38"/>
      <c r="Q48" s="8"/>
      <c r="R48" s="8"/>
      <c r="S48" s="13"/>
      <c r="T48" s="14"/>
      <c r="U48" s="38"/>
    </row>
    <row r="49" spans="2:21" ht="15.75" thickBot="1" x14ac:dyDescent="0.3">
      <c r="B49" s="38"/>
      <c r="C49" s="10" t="s">
        <v>36</v>
      </c>
      <c r="D49" s="14" t="s">
        <v>28</v>
      </c>
      <c r="E49" s="8">
        <v>8939</v>
      </c>
      <c r="F49" s="8">
        <v>6837.21</v>
      </c>
      <c r="G49" s="8">
        <v>2101.79</v>
      </c>
      <c r="H49" s="10"/>
      <c r="I49" s="10"/>
      <c r="J49" s="39"/>
      <c r="K49" s="13"/>
      <c r="L49" s="14"/>
      <c r="M49" s="8"/>
      <c r="N49" s="8"/>
      <c r="O49" s="8"/>
      <c r="P49" s="38"/>
      <c r="Q49" s="8"/>
      <c r="R49" s="8"/>
      <c r="S49" s="13"/>
      <c r="T49" s="14"/>
      <c r="U49" s="38"/>
    </row>
    <row r="50" spans="2:21" ht="15.75" thickBot="1" x14ac:dyDescent="0.3">
      <c r="B50" s="38"/>
      <c r="C50" s="10" t="s">
        <v>37</v>
      </c>
      <c r="D50" s="14" t="s">
        <v>28</v>
      </c>
      <c r="E50" s="8">
        <v>8939</v>
      </c>
      <c r="F50" s="8">
        <v>6848.18</v>
      </c>
      <c r="G50" s="8">
        <v>2090.8200000000002</v>
      </c>
      <c r="H50" s="10"/>
      <c r="I50" s="10"/>
      <c r="J50" s="39"/>
      <c r="K50" s="13"/>
      <c r="L50" s="14"/>
      <c r="M50" s="8"/>
      <c r="N50" s="8"/>
      <c r="O50" s="8"/>
      <c r="P50" s="38"/>
      <c r="Q50" s="8"/>
      <c r="R50" s="8"/>
      <c r="S50" s="13"/>
      <c r="T50" s="14"/>
      <c r="U50" s="38"/>
    </row>
    <row r="51" spans="2:21" ht="15.75" thickBot="1" x14ac:dyDescent="0.3">
      <c r="B51" s="38"/>
      <c r="C51" s="10" t="s">
        <v>38</v>
      </c>
      <c r="D51" s="14" t="s">
        <v>28</v>
      </c>
      <c r="E51" s="8">
        <v>8939</v>
      </c>
      <c r="F51" s="8">
        <v>6926.27</v>
      </c>
      <c r="G51" s="8">
        <v>2012.73</v>
      </c>
      <c r="H51" s="10"/>
      <c r="I51" s="10"/>
      <c r="J51" s="39"/>
      <c r="K51" s="13"/>
      <c r="L51" s="14"/>
      <c r="M51" s="8"/>
      <c r="N51" s="8"/>
      <c r="O51" s="8"/>
      <c r="P51" s="38"/>
      <c r="Q51" s="8"/>
      <c r="R51" s="8"/>
      <c r="S51" s="13"/>
      <c r="T51" s="14"/>
      <c r="U51" s="38"/>
    </row>
    <row r="52" spans="2:21" ht="15.75" thickBot="1" x14ac:dyDescent="0.3">
      <c r="B52" s="38"/>
      <c r="C52" s="10" t="s">
        <v>39</v>
      </c>
      <c r="D52" s="14" t="s">
        <v>28</v>
      </c>
      <c r="E52" s="8">
        <v>8939</v>
      </c>
      <c r="F52" s="8">
        <v>6870.29</v>
      </c>
      <c r="G52" s="8">
        <v>2068.71</v>
      </c>
      <c r="H52" s="10"/>
      <c r="I52" s="10"/>
      <c r="J52" s="39"/>
      <c r="K52" s="13"/>
      <c r="L52" s="14"/>
      <c r="M52" s="8"/>
      <c r="N52" s="8"/>
      <c r="O52" s="8"/>
      <c r="P52" s="38"/>
      <c r="Q52" s="8"/>
      <c r="R52" s="8"/>
      <c r="S52" s="13"/>
      <c r="T52" s="14"/>
      <c r="U52" s="38"/>
    </row>
    <row r="53" spans="2:21" ht="15.75" thickBot="1" x14ac:dyDescent="0.3">
      <c r="B53" s="38"/>
      <c r="C53" s="10" t="s">
        <v>40</v>
      </c>
      <c r="D53" s="14" t="s">
        <v>28</v>
      </c>
      <c r="E53" s="8">
        <v>8939</v>
      </c>
      <c r="F53" s="8">
        <v>6947.7</v>
      </c>
      <c r="G53" s="8">
        <v>1991.3</v>
      </c>
      <c r="H53" s="10"/>
      <c r="I53" s="10"/>
      <c r="J53" s="39"/>
      <c r="K53" s="13"/>
      <c r="L53" s="14"/>
      <c r="M53" s="8"/>
      <c r="N53" s="8"/>
      <c r="O53" s="8"/>
      <c r="P53" s="38"/>
      <c r="Q53" s="8"/>
      <c r="R53" s="8"/>
      <c r="S53" s="13"/>
      <c r="T53" s="14"/>
      <c r="U53" s="38"/>
    </row>
    <row r="54" spans="2:21" ht="15.75" thickBot="1" x14ac:dyDescent="0.3">
      <c r="B54" s="38"/>
      <c r="C54" s="10" t="s">
        <v>41</v>
      </c>
      <c r="D54" s="14" t="s">
        <v>28</v>
      </c>
      <c r="E54" s="8">
        <v>8939</v>
      </c>
      <c r="F54" s="8">
        <v>6892.47</v>
      </c>
      <c r="G54" s="8">
        <v>2046.53</v>
      </c>
      <c r="H54" s="10"/>
      <c r="I54" s="10"/>
      <c r="J54" s="39"/>
      <c r="K54" s="13"/>
      <c r="L54" s="14"/>
      <c r="M54" s="8"/>
      <c r="N54" s="8"/>
      <c r="O54" s="8"/>
      <c r="P54" s="38"/>
      <c r="Q54" s="8"/>
      <c r="R54" s="8"/>
      <c r="S54" s="13"/>
      <c r="T54" s="14"/>
      <c r="U54" s="38"/>
    </row>
    <row r="55" spans="2:21" ht="15.75" thickBot="1" x14ac:dyDescent="0.3">
      <c r="B55" s="38"/>
      <c r="C55" s="10" t="s">
        <v>42</v>
      </c>
      <c r="D55" s="14" t="s">
        <v>28</v>
      </c>
      <c r="E55" s="8">
        <v>8939</v>
      </c>
      <c r="F55" s="8">
        <v>6903.54</v>
      </c>
      <c r="G55" s="8">
        <v>2035.46</v>
      </c>
      <c r="H55" s="10"/>
      <c r="I55" s="10"/>
      <c r="J55" s="39"/>
      <c r="K55" s="13"/>
      <c r="L55" s="14"/>
      <c r="M55" s="8"/>
      <c r="N55" s="8"/>
      <c r="O55" s="8"/>
      <c r="P55" s="38"/>
      <c r="Q55" s="8"/>
      <c r="R55" s="8"/>
      <c r="S55" s="13"/>
      <c r="T55" s="14"/>
      <c r="U55" s="38"/>
    </row>
    <row r="56" spans="2:21" ht="15.75" thickBot="1" x14ac:dyDescent="0.3">
      <c r="B56" s="38"/>
      <c r="C56" s="10" t="s">
        <v>30</v>
      </c>
      <c r="D56" s="10"/>
      <c r="E56" s="8">
        <v>1262180.21</v>
      </c>
      <c r="F56" s="8">
        <v>1261135.3700000001</v>
      </c>
      <c r="G56" s="8">
        <v>1044.8399999999999</v>
      </c>
      <c r="H56" s="10"/>
      <c r="I56" s="10"/>
      <c r="J56" s="39"/>
      <c r="K56" s="13"/>
      <c r="L56" s="14"/>
      <c r="M56" s="8"/>
      <c r="N56" s="8"/>
      <c r="O56" s="8"/>
      <c r="P56" s="38"/>
      <c r="Q56" s="8"/>
      <c r="R56" s="8"/>
      <c r="S56" s="13"/>
      <c r="T56" s="14"/>
      <c r="U56" s="38"/>
    </row>
    <row r="57" spans="2:21" ht="15.75" thickBot="1" x14ac:dyDescent="0.3">
      <c r="B57" s="38"/>
      <c r="C57" s="16"/>
      <c r="D57" s="16"/>
      <c r="E57" s="16"/>
      <c r="F57" s="16"/>
      <c r="G57" s="16"/>
      <c r="H57" s="16"/>
      <c r="I57" s="22"/>
      <c r="J57" s="39"/>
      <c r="K57" s="16"/>
      <c r="L57" s="16"/>
      <c r="M57" s="16"/>
      <c r="N57" s="16"/>
      <c r="O57" s="16"/>
      <c r="P57" s="38"/>
      <c r="Q57" s="16"/>
      <c r="R57" s="27"/>
      <c r="S57" s="33"/>
      <c r="T57" s="35"/>
      <c r="U57" s="38"/>
    </row>
    <row r="58" spans="2:21" ht="15.75" thickBot="1" x14ac:dyDescent="0.3">
      <c r="B58" s="38"/>
      <c r="C58" s="13">
        <v>43190</v>
      </c>
      <c r="D58" s="14" t="s">
        <v>28</v>
      </c>
      <c r="E58" s="10"/>
      <c r="F58" s="10"/>
      <c r="G58" s="10" t="s">
        <v>43</v>
      </c>
      <c r="H58" s="10" t="s">
        <v>43</v>
      </c>
      <c r="I58" s="26">
        <v>8.0500000000000002E-2</v>
      </c>
      <c r="J58" s="39"/>
      <c r="K58" s="13"/>
      <c r="L58" s="14"/>
      <c r="M58" s="8"/>
      <c r="N58" s="11" t="s">
        <v>44</v>
      </c>
      <c r="O58" s="11" t="s">
        <v>44</v>
      </c>
      <c r="P58" s="38"/>
      <c r="Q58" s="11"/>
      <c r="R58" s="11"/>
      <c r="S58" s="8"/>
      <c r="T58" s="14"/>
      <c r="U58" s="38"/>
    </row>
    <row r="59" spans="2:21" ht="15.75" thickBot="1" x14ac:dyDescent="0.3">
      <c r="B59" s="38"/>
      <c r="C59" s="13">
        <v>43220</v>
      </c>
      <c r="D59" s="14" t="s">
        <v>28</v>
      </c>
      <c r="E59" s="10"/>
      <c r="F59" s="10"/>
      <c r="G59" s="10" t="s">
        <v>43</v>
      </c>
      <c r="H59" s="10" t="s">
        <v>43</v>
      </c>
      <c r="I59" s="26">
        <v>8.0500000000000002E-2</v>
      </c>
      <c r="J59" s="39"/>
      <c r="K59" s="13"/>
      <c r="L59" s="14"/>
      <c r="M59" s="8"/>
      <c r="N59" s="11" t="s">
        <v>44</v>
      </c>
      <c r="O59" s="11" t="s">
        <v>44</v>
      </c>
      <c r="P59" s="38"/>
      <c r="Q59" s="11"/>
      <c r="R59" s="11"/>
      <c r="S59" s="8"/>
      <c r="T59" s="14"/>
      <c r="U59" s="38"/>
    </row>
    <row r="60" spans="2:21" ht="15.75" thickBot="1" x14ac:dyDescent="0.3">
      <c r="B60" s="38"/>
      <c r="C60" s="28">
        <v>43237</v>
      </c>
      <c r="D60" s="14" t="s">
        <v>28</v>
      </c>
      <c r="E60" s="10"/>
      <c r="F60" s="29"/>
      <c r="G60" s="10" t="s">
        <v>43</v>
      </c>
      <c r="H60" s="10" t="s">
        <v>43</v>
      </c>
      <c r="I60" s="26">
        <v>8.0500000000000002E-2</v>
      </c>
      <c r="J60" s="39"/>
      <c r="K60" s="13"/>
      <c r="L60" s="13"/>
      <c r="M60" s="13"/>
      <c r="N60" s="13"/>
      <c r="O60" s="13"/>
      <c r="P60" s="38"/>
      <c r="Q60" s="11"/>
      <c r="R60" s="30"/>
      <c r="S60" s="8"/>
      <c r="T60" s="31"/>
      <c r="U60" s="38"/>
    </row>
    <row r="61" spans="2:21" ht="15.75" thickBot="1" x14ac:dyDescent="0.3">
      <c r="B61" s="38"/>
      <c r="C61" s="33" t="s">
        <v>45</v>
      </c>
      <c r="D61" s="34"/>
      <c r="E61" s="34"/>
      <c r="F61" s="34"/>
      <c r="G61" s="34"/>
      <c r="H61" s="35"/>
      <c r="I61" s="21"/>
      <c r="J61" s="39"/>
      <c r="K61" s="33"/>
      <c r="L61" s="34"/>
      <c r="M61" s="34"/>
      <c r="N61" s="34"/>
      <c r="O61" s="35"/>
      <c r="P61" s="38"/>
      <c r="Q61" s="33"/>
      <c r="R61" s="35"/>
      <c r="S61" s="33"/>
      <c r="T61" s="35"/>
      <c r="U61" s="38"/>
    </row>
    <row r="62" spans="2:21" ht="15.75" thickBot="1" x14ac:dyDescent="0.3">
      <c r="B62" s="38"/>
      <c r="C62" s="18">
        <v>43237</v>
      </c>
      <c r="D62" s="16"/>
      <c r="E62" s="16" t="s">
        <v>43</v>
      </c>
      <c r="F62" s="17">
        <v>1329617.1499999999</v>
      </c>
      <c r="G62" s="17" t="s">
        <v>43</v>
      </c>
      <c r="H62" s="16" t="s">
        <v>43</v>
      </c>
      <c r="I62" s="22"/>
      <c r="J62" s="39"/>
      <c r="K62" s="16"/>
      <c r="L62" s="16"/>
      <c r="M62" s="16"/>
      <c r="N62" s="16"/>
      <c r="O62" s="16"/>
      <c r="P62" s="38"/>
      <c r="Q62" s="16"/>
      <c r="R62" s="16"/>
      <c r="S62" s="16"/>
      <c r="T62" s="16"/>
      <c r="U62" s="38"/>
    </row>
    <row r="63" spans="2:21" x14ac:dyDescent="0.25">
      <c r="B63" s="38"/>
      <c r="C63" s="45"/>
      <c r="D63" s="45"/>
      <c r="E63" s="45"/>
      <c r="F63" s="45"/>
      <c r="G63" s="45"/>
      <c r="H63" s="45"/>
      <c r="I63" s="23"/>
      <c r="J63" s="39"/>
      <c r="K63" s="45"/>
      <c r="L63" s="45"/>
      <c r="M63" s="45"/>
      <c r="N63" s="45"/>
      <c r="O63" s="45"/>
      <c r="P63" s="38"/>
      <c r="Q63" s="19"/>
      <c r="R63" s="19"/>
      <c r="S63" s="45"/>
      <c r="T63" s="45"/>
      <c r="U63" s="38"/>
    </row>
    <row r="64" spans="2:21" x14ac:dyDescent="0.25">
      <c r="C64" t="s">
        <v>56</v>
      </c>
    </row>
  </sheetData>
  <mergeCells count="35">
    <mergeCell ref="C63:H63"/>
    <mergeCell ref="K63:O63"/>
    <mergeCell ref="S63:T63"/>
    <mergeCell ref="B11:B63"/>
    <mergeCell ref="S11:U14"/>
    <mergeCell ref="P15:P63"/>
    <mergeCell ref="J14:J63"/>
    <mergeCell ref="U15:U63"/>
    <mergeCell ref="C61:H61"/>
    <mergeCell ref="K61:O61"/>
    <mergeCell ref="S43:T43"/>
    <mergeCell ref="S61:T61"/>
    <mergeCell ref="S57:T57"/>
    <mergeCell ref="C15:G15"/>
    <mergeCell ref="K15:N15"/>
    <mergeCell ref="O16:O17"/>
    <mergeCell ref="C16:C17"/>
    <mergeCell ref="Q43:R43"/>
    <mergeCell ref="Q61:R61"/>
    <mergeCell ref="K43:O43"/>
    <mergeCell ref="T16:T17"/>
    <mergeCell ref="D16:D17"/>
    <mergeCell ref="E16:E17"/>
    <mergeCell ref="F16:F17"/>
    <mergeCell ref="G16:G17"/>
    <mergeCell ref="K16:K17"/>
    <mergeCell ref="L16:L17"/>
    <mergeCell ref="M16:M17"/>
    <mergeCell ref="N16:N17"/>
    <mergeCell ref="S16:S17"/>
    <mergeCell ref="H16:H17"/>
    <mergeCell ref="Q16:Q17"/>
    <mergeCell ref="R16:R17"/>
    <mergeCell ref="I16:I17"/>
    <mergeCell ref="C43:I43"/>
  </mergeCells>
  <pageMargins left="0.7" right="0.7" top="0.75" bottom="0.75" header="0.3" footer="0.3"/>
  <pageSetup paperSize="9" orientation="portrait" r:id="rId1"/>
  <headerFooter>
    <oddHeader xml:space="preserve">&amp;R&amp;10&amp;"Arial"Air Bank / důvěrné
&amp;"Arial"&amp;06 </oddHeader>
  </headerFooter>
  <ignoredErrors>
    <ignoredError sqref="D19" numberStoredAsText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  <headerFooter>
    <oddHeader xml:space="preserve">&amp;R&amp;10&amp;"Arial"Air Bank / důvěrné
&amp;"Arial"&amp;06 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  <headerFooter>
    <oddHeader xml:space="preserve">&amp;R&amp;10&amp;"Arial"Air Bank / důvěrné
&amp;"Arial"&amp;06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List1</vt:lpstr>
      <vt:lpstr>List2</vt:lpstr>
      <vt:lpstr>List3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2018-05-22T11:32:34Z</dcterms:modified>
  <cp:category>Air Bank / důvěrné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rbank-DocumentTagging.ClassificationMark.P00">
    <vt:lpwstr>&lt;ClassificationMark xmlns:xsi="http://www.w3.org/2001/XMLSchema-instance" xmlns:xsd="http://www.w3.org/2001/XMLSchema" margin="NaN" class="C2" owner="Štefl Michael" position="TopRight" marginX="1.3" marginY="0.6" classifiedOn="2018-05-21T08:41:04.673</vt:lpwstr>
  </property>
  <property fmtid="{D5CDD505-2E9C-101B-9397-08002B2CF9AE}" pid="3" name="airbank-DocumentTagging.ClassificationMark.P01">
    <vt:lpwstr>3928+02:00" showPrintedBy="false" showPrintDate="false" language="cs" ApplicationVersion="Microsoft Excel, 14.0" addinVersion="5.7.9.0" template="Air Bank"&gt;&lt;history bulk="false" class="Air Bank / důvěrné" code="C2" user="Štefl Michael" date="2018-05-</vt:lpwstr>
  </property>
  <property fmtid="{D5CDD505-2E9C-101B-9397-08002B2CF9AE}" pid="4" name="airbank-DocumentTagging.ClassificationMark.P02">
    <vt:lpwstr>21T08:41:04.6733928+02:00" /&gt;&lt;recipients /&gt;&lt;documentOwners /&gt;&lt;/ClassificationMark&gt;</vt:lpwstr>
  </property>
  <property fmtid="{D5CDD505-2E9C-101B-9397-08002B2CF9AE}" pid="5" name="airbank-DocumentTagging.ClassificationMark">
    <vt:lpwstr>￼PARTS:3</vt:lpwstr>
  </property>
  <property fmtid="{D5CDD505-2E9C-101B-9397-08002B2CF9AE}" pid="6" name="airbank-DocumentClasification">
    <vt:lpwstr>Air Bank / důvěrné</vt:lpwstr>
  </property>
  <property fmtid="{D5CDD505-2E9C-101B-9397-08002B2CF9AE}" pid="7" name="airbank-DLP">
    <vt:lpwstr>airbank-DLP:DLP_AB DUVERNE</vt:lpwstr>
  </property>
</Properties>
</file>